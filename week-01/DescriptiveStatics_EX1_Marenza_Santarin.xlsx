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renzasantarin\OneDrive - Year Up- BOS\Documents\DataAnalytics\week-01\"/>
    </mc:Choice>
  </mc:AlternateContent>
  <xr:revisionPtr revIDLastSave="0" documentId="13_ncr:1_{B649B1AF-AF59-4215-BC0F-F1F865B3B8B2}" xr6:coauthVersionLast="47" xr6:coauthVersionMax="47" xr10:uidLastSave="{00000000-0000-0000-0000-000000000000}"/>
  <bookViews>
    <workbookView xWindow="-110" yWindow="-110" windowWidth="19420" windowHeight="11500" activeTab="1" xr2:uid="{00000000-000D-0000-FFFF-FFFF00000000}"/>
  </bookViews>
  <sheets>
    <sheet name="Sales_Data" sheetId="1" r:id="rId1"/>
    <sheet name="Exercise" sheetId="2" r:id="rId2"/>
  </sheets>
  <definedNames>
    <definedName name="_xlnm._FilterDatabase" localSheetId="0" hidden="1">Sales_Data!$A$1:$H$21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2" l="1"/>
  <c r="C43" i="2"/>
  <c r="C42" i="2"/>
  <c r="E36" i="2"/>
  <c r="D36" i="2"/>
  <c r="C36" i="2"/>
  <c r="B36" i="2"/>
  <c r="D30" i="2"/>
  <c r="C30" i="2"/>
  <c r="B30" i="2"/>
  <c r="E24" i="2"/>
  <c r="D24" i="2"/>
  <c r="C24" i="2"/>
  <c r="B24" i="2"/>
  <c r="C17" i="2"/>
  <c r="C18" i="2"/>
  <c r="C16" i="2"/>
  <c r="C15" i="2"/>
  <c r="C14" i="2"/>
  <c r="C13" i="2"/>
</calcChain>
</file>

<file path=xl/sharedStrings.xml><?xml version="1.0" encoding="utf-8"?>
<sst xmlns="http://schemas.openxmlformats.org/spreadsheetml/2006/main" count="135" uniqueCount="73">
  <si>
    <t>Order_ID</t>
  </si>
  <si>
    <t>Region</t>
  </si>
  <si>
    <t>Sales_Rep</t>
  </si>
  <si>
    <t>Product_Category</t>
  </si>
  <si>
    <t>Units_Sold</t>
  </si>
  <si>
    <t>Unit_Price</t>
  </si>
  <si>
    <t>Revenue</t>
  </si>
  <si>
    <t>Customer_Rating</t>
  </si>
  <si>
    <t>North</t>
  </si>
  <si>
    <t>Adams</t>
  </si>
  <si>
    <t>Electronics</t>
  </si>
  <si>
    <t>South</t>
  </si>
  <si>
    <t>Brown</t>
  </si>
  <si>
    <t>Furniture</t>
  </si>
  <si>
    <t>East</t>
  </si>
  <si>
    <t>Chen</t>
  </si>
  <si>
    <t>West</t>
  </si>
  <si>
    <t>Diaz</t>
  </si>
  <si>
    <t>Office Supplies</t>
  </si>
  <si>
    <t>Business Analytics Exercise: Descriptive Statistics</t>
  </si>
  <si>
    <t>Scenario:</t>
  </si>
  <si>
    <t>You are a junior data analyst working for a retail company that sells electronics,</t>
  </si>
  <si>
    <t>furniture, and office supplies. Management wants to better understand sales</t>
  </si>
  <si>
    <t>performance across regions, product categories, and sales representatives.</t>
  </si>
  <si>
    <t>Your task is to use descriptive statistics in Excel to analyze the dataset and</t>
  </si>
  <si>
    <t>provide insights that help management make business decisions.</t>
  </si>
  <si>
    <t>Part 1: Descriptive Statistics</t>
  </si>
  <si>
    <t>Calculate the following for the Revenue column:</t>
  </si>
  <si>
    <t>Average Revenue</t>
  </si>
  <si>
    <t>Median Revenue</t>
  </si>
  <si>
    <t>Minimum Revenue</t>
  </si>
  <si>
    <t>Maximum Revenue</t>
  </si>
  <si>
    <t>Range of Revenue</t>
  </si>
  <si>
    <t>Standard Deviation of Revenue</t>
  </si>
  <si>
    <t>Part 2: Business Scenarios</t>
  </si>
  <si>
    <t>Scenario A – Regional Performance</t>
  </si>
  <si>
    <t>Management wants to know which region generates the highest revenue.</t>
  </si>
  <si>
    <t>1. Calculate the average revenue by region.</t>
  </si>
  <si>
    <t>2. Which region performs the best?</t>
  </si>
  <si>
    <t>3. What recommendation would you give management?</t>
  </si>
  <si>
    <t>Scenario B – Product Category Insights</t>
  </si>
  <si>
    <t>The company wants to understand which product category generates the most revenue.</t>
  </si>
  <si>
    <t>1. Calculate the average revenue for each product category.</t>
  </si>
  <si>
    <t>2. Which category performs best?</t>
  </si>
  <si>
    <t>3. Which category appears weakest?</t>
  </si>
  <si>
    <t>Scenario C – Sales Representative Performance</t>
  </si>
  <si>
    <t>Managers want to evaluate sales representative performance.</t>
  </si>
  <si>
    <t>1. Calculate the total or average revenue generated by each sales representative.</t>
  </si>
  <si>
    <t>2. Which representative performs best?</t>
  </si>
  <si>
    <t>3. What factors might explain the differences?</t>
  </si>
  <si>
    <t>Scenario D – Customer Satisfaction</t>
  </si>
  <si>
    <t>Customer ratings represent satisfaction scores from 1 to 5.</t>
  </si>
  <si>
    <t>1. Calculate the average customer rating.</t>
  </si>
  <si>
    <t>2. Identify the minimum and maximum ratings.</t>
  </si>
  <si>
    <t>3. What might management infer about customer satisfaction?</t>
  </si>
  <si>
    <t>Part 3: Interpretation</t>
  </si>
  <si>
    <t>Write a short summary (4–6 sentences) explaining the key insights</t>
  </si>
  <si>
    <t>you discovered from the descriptive statistics.</t>
  </si>
  <si>
    <t>Based on the average, West performed best.</t>
  </si>
  <si>
    <t>Focus on what strategies they used in the West and apply or share it to low performing regions.</t>
  </si>
  <si>
    <t>Office supplies</t>
  </si>
  <si>
    <t>Based on the average, Furniture performed best.</t>
  </si>
  <si>
    <t>Weakest is Office supplies.</t>
  </si>
  <si>
    <t>Best performer is Diaz.</t>
  </si>
  <si>
    <t>Average:</t>
  </si>
  <si>
    <t>Median:</t>
  </si>
  <si>
    <t>Minimum:</t>
  </si>
  <si>
    <t>Maximum:</t>
  </si>
  <si>
    <t>Range:</t>
  </si>
  <si>
    <t>STD Dev:</t>
  </si>
  <si>
    <t>Although there are some lower ratings that might point to areas for development, overall customer satisfaction is good.</t>
  </si>
  <si>
    <t>Overall, the data shows that the East region performs lowest while the West region earns the highest average revenue.
Office supplies provide a minimum of revenue among product categories, whereas furniture generates the highest.
Due to their great regional performance and higher-value sales, Diaz is the best-performing sales representative.
With an average rating of about 4.3, customer satisfaction is still good, however some lower ratings point to areas that could use work.
While maintaining excellent performance in top areas, these insights can assist management in concentrating on strengthening weaker regions and product categories.</t>
  </si>
  <si>
    <t>It could be his location or the items that he is selling are more expensive than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</si>
</sst>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
  </numFmts>
  <fonts count="3" x14ac:knownFonts="1">
    <font>
      <sz val="11"/>
      <color theme="1"/>
      <name val="Calibri"/>
      <family val="2"/>
      <scheme val="minor"/>
    </font>
    <font>
      <b/>
      <sz val="11"/>
      <color theme="3"/>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1" applyNumberFormat="0" applyFill="0" applyAlignment="0" applyProtection="0"/>
  </cellStyleXfs>
  <cellXfs count="14">
    <xf numFmtId="0" fontId="0" fillId="0" borderId="0" xfId="0"/>
    <xf numFmtId="0" fontId="0" fillId="0" borderId="0" xfId="0" applyAlignment="1">
      <alignment horizontal="center"/>
    </xf>
    <xf numFmtId="0" fontId="1" fillId="0" borderId="1" xfId="1"/>
    <xf numFmtId="0" fontId="0" fillId="0" borderId="0" xfId="0" applyAlignment="1">
      <alignment vertical="center"/>
    </xf>
    <xf numFmtId="0" fontId="2" fillId="0" borderId="2" xfId="0" applyFont="1" applyBorder="1" applyAlignment="1">
      <alignment vertical="center"/>
    </xf>
    <xf numFmtId="2" fontId="0" fillId="0" borderId="2" xfId="0" applyNumberFormat="1" applyBorder="1" applyAlignment="1">
      <alignment vertical="center"/>
    </xf>
    <xf numFmtId="2" fontId="0" fillId="0" borderId="3" xfId="0" applyNumberFormat="1" applyBorder="1" applyAlignment="1">
      <alignment vertical="center"/>
    </xf>
    <xf numFmtId="0" fontId="0" fillId="0" borderId="2" xfId="0" applyBorder="1" applyAlignment="1">
      <alignment horizontal="left" vertical="center"/>
    </xf>
    <xf numFmtId="0" fontId="0" fillId="0" borderId="3" xfId="0" applyBorder="1" applyAlignment="1">
      <alignment horizontal="left" vertical="center"/>
    </xf>
    <xf numFmtId="171" fontId="0" fillId="0" borderId="2" xfId="0" applyNumberFormat="1" applyBorder="1" applyAlignment="1">
      <alignment vertical="center"/>
    </xf>
    <xf numFmtId="0" fontId="0" fillId="0" borderId="2" xfId="0" applyBorder="1" applyAlignment="1">
      <alignment vertical="center"/>
    </xf>
    <xf numFmtId="0" fontId="2" fillId="0" borderId="3" xfId="0" applyFont="1" applyBorder="1" applyAlignment="1">
      <alignment vertical="center"/>
    </xf>
    <xf numFmtId="0" fontId="0" fillId="0" borderId="3" xfId="0" applyBorder="1" applyAlignment="1">
      <alignment vertical="center"/>
    </xf>
    <xf numFmtId="0" fontId="0" fillId="0" borderId="2" xfId="0" applyBorder="1" applyAlignment="1">
      <alignment horizontal="left" vertical="center" wrapText="1"/>
    </xf>
  </cellXfs>
  <cellStyles count="2">
    <cellStyle name="Heading 3" xfId="1" builtinId="1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workbookViewId="0">
      <selection activeCell="I7" sqref="I7"/>
    </sheetView>
  </sheetViews>
  <sheetFormatPr defaultRowHeight="14.5" x14ac:dyDescent="0.35"/>
  <cols>
    <col min="1" max="1" width="10.81640625" bestFit="1" customWidth="1"/>
    <col min="2" max="2" width="8.7265625" bestFit="1" customWidth="1"/>
    <col min="3" max="3" width="11.453125" bestFit="1" customWidth="1"/>
    <col min="4" max="4" width="18.26953125" bestFit="1" customWidth="1"/>
    <col min="5" max="5" width="12" bestFit="1" customWidth="1"/>
    <col min="6" max="6" width="11.7265625" bestFit="1" customWidth="1"/>
    <col min="7" max="7" width="10.26953125" bestFit="1" customWidth="1"/>
    <col min="8" max="8" width="17.6328125" bestFit="1" customWidth="1"/>
  </cols>
  <sheetData>
    <row r="1" spans="1:8" ht="24" customHeight="1" thickBot="1" x14ac:dyDescent="0.4">
      <c r="A1" s="2" t="s">
        <v>0</v>
      </c>
      <c r="B1" s="2" t="s">
        <v>1</v>
      </c>
      <c r="C1" s="2" t="s">
        <v>2</v>
      </c>
      <c r="D1" s="2" t="s">
        <v>3</v>
      </c>
      <c r="E1" s="2" t="s">
        <v>4</v>
      </c>
      <c r="F1" s="2" t="s">
        <v>5</v>
      </c>
      <c r="G1" s="2" t="s">
        <v>6</v>
      </c>
      <c r="H1" s="2" t="s">
        <v>7</v>
      </c>
    </row>
    <row r="2" spans="1:8" x14ac:dyDescent="0.35">
      <c r="A2" s="1">
        <v>1001</v>
      </c>
      <c r="B2" t="s">
        <v>8</v>
      </c>
      <c r="C2" t="s">
        <v>9</v>
      </c>
      <c r="D2" t="s">
        <v>10</v>
      </c>
      <c r="E2" s="1">
        <v>5</v>
      </c>
      <c r="F2">
        <v>320</v>
      </c>
      <c r="G2">
        <v>1600</v>
      </c>
      <c r="H2" s="1">
        <v>4.5</v>
      </c>
    </row>
    <row r="3" spans="1:8" x14ac:dyDescent="0.35">
      <c r="A3" s="1">
        <v>1002</v>
      </c>
      <c r="B3" t="s">
        <v>11</v>
      </c>
      <c r="C3" t="s">
        <v>12</v>
      </c>
      <c r="D3" t="s">
        <v>13</v>
      </c>
      <c r="E3" s="1">
        <v>2</v>
      </c>
      <c r="F3">
        <v>850</v>
      </c>
      <c r="G3">
        <v>1700</v>
      </c>
      <c r="H3" s="1">
        <v>4.2</v>
      </c>
    </row>
    <row r="4" spans="1:8" x14ac:dyDescent="0.35">
      <c r="A4" s="1">
        <v>1003</v>
      </c>
      <c r="B4" t="s">
        <v>14</v>
      </c>
      <c r="C4" t="s">
        <v>15</v>
      </c>
      <c r="D4" t="s">
        <v>10</v>
      </c>
      <c r="E4" s="1">
        <v>3</v>
      </c>
      <c r="F4">
        <v>300</v>
      </c>
      <c r="G4">
        <v>900</v>
      </c>
      <c r="H4" s="1">
        <v>3.9</v>
      </c>
    </row>
    <row r="5" spans="1:8" x14ac:dyDescent="0.35">
      <c r="A5" s="1">
        <v>1004</v>
      </c>
      <c r="B5" t="s">
        <v>16</v>
      </c>
      <c r="C5" t="s">
        <v>17</v>
      </c>
      <c r="D5" t="s">
        <v>18</v>
      </c>
      <c r="E5" s="1">
        <v>20</v>
      </c>
      <c r="F5">
        <v>25</v>
      </c>
      <c r="G5">
        <v>500</v>
      </c>
      <c r="H5" s="1">
        <v>4.7</v>
      </c>
    </row>
    <row r="6" spans="1:8" x14ac:dyDescent="0.35">
      <c r="A6" s="1">
        <v>1005</v>
      </c>
      <c r="B6" t="s">
        <v>8</v>
      </c>
      <c r="C6" t="s">
        <v>9</v>
      </c>
      <c r="D6" t="s">
        <v>13</v>
      </c>
      <c r="E6" s="1">
        <v>1</v>
      </c>
      <c r="F6">
        <v>1200</v>
      </c>
      <c r="G6">
        <v>1200</v>
      </c>
      <c r="H6" s="1">
        <v>4.0999999999999996</v>
      </c>
    </row>
    <row r="7" spans="1:8" x14ac:dyDescent="0.35">
      <c r="A7" s="1">
        <v>1006</v>
      </c>
      <c r="B7" t="s">
        <v>11</v>
      </c>
      <c r="C7" t="s">
        <v>12</v>
      </c>
      <c r="D7" t="s">
        <v>10</v>
      </c>
      <c r="E7" s="1">
        <v>4</v>
      </c>
      <c r="F7">
        <v>310</v>
      </c>
      <c r="G7">
        <v>1240</v>
      </c>
      <c r="H7" s="1">
        <v>3.8</v>
      </c>
    </row>
    <row r="8" spans="1:8" x14ac:dyDescent="0.35">
      <c r="A8" s="1">
        <v>1007</v>
      </c>
      <c r="B8" t="s">
        <v>14</v>
      </c>
      <c r="C8" t="s">
        <v>15</v>
      </c>
      <c r="D8" t="s">
        <v>18</v>
      </c>
      <c r="E8" s="1">
        <v>15</v>
      </c>
      <c r="F8">
        <v>22</v>
      </c>
      <c r="G8">
        <v>330</v>
      </c>
      <c r="H8" s="1">
        <v>4.5999999999999996</v>
      </c>
    </row>
    <row r="9" spans="1:8" x14ac:dyDescent="0.35">
      <c r="A9" s="1">
        <v>1008</v>
      </c>
      <c r="B9" t="s">
        <v>16</v>
      </c>
      <c r="C9" t="s">
        <v>17</v>
      </c>
      <c r="D9" t="s">
        <v>10</v>
      </c>
      <c r="E9" s="1">
        <v>6</v>
      </c>
      <c r="F9">
        <v>295</v>
      </c>
      <c r="G9">
        <v>1770</v>
      </c>
      <c r="H9" s="1">
        <v>4.4000000000000004</v>
      </c>
    </row>
    <row r="10" spans="1:8" x14ac:dyDescent="0.35">
      <c r="A10" s="1">
        <v>1009</v>
      </c>
      <c r="B10" t="s">
        <v>8</v>
      </c>
      <c r="C10" t="s">
        <v>9</v>
      </c>
      <c r="D10" t="s">
        <v>18</v>
      </c>
      <c r="E10" s="1">
        <v>18</v>
      </c>
      <c r="F10">
        <v>24</v>
      </c>
      <c r="G10">
        <v>432</v>
      </c>
      <c r="H10" s="1">
        <v>4.8</v>
      </c>
    </row>
    <row r="11" spans="1:8" x14ac:dyDescent="0.35">
      <c r="A11" s="1">
        <v>1010</v>
      </c>
      <c r="B11" t="s">
        <v>11</v>
      </c>
      <c r="C11" t="s">
        <v>12</v>
      </c>
      <c r="D11" t="s">
        <v>13</v>
      </c>
      <c r="E11" s="1">
        <v>3</v>
      </c>
      <c r="F11">
        <v>900</v>
      </c>
      <c r="G11">
        <v>2700</v>
      </c>
      <c r="H11" s="1">
        <v>4</v>
      </c>
    </row>
    <row r="12" spans="1:8" x14ac:dyDescent="0.35">
      <c r="A12" s="1">
        <v>1011</v>
      </c>
      <c r="B12" t="s">
        <v>14</v>
      </c>
      <c r="C12" t="s">
        <v>15</v>
      </c>
      <c r="D12" t="s">
        <v>13</v>
      </c>
      <c r="E12" s="1">
        <v>2</v>
      </c>
      <c r="F12">
        <v>950</v>
      </c>
      <c r="G12">
        <v>1900</v>
      </c>
      <c r="H12" s="1">
        <v>4.3</v>
      </c>
    </row>
    <row r="13" spans="1:8" x14ac:dyDescent="0.35">
      <c r="A13" s="1">
        <v>1012</v>
      </c>
      <c r="B13" t="s">
        <v>16</v>
      </c>
      <c r="C13" t="s">
        <v>17</v>
      </c>
      <c r="D13" t="s">
        <v>18</v>
      </c>
      <c r="E13" s="1">
        <v>25</v>
      </c>
      <c r="F13">
        <v>23</v>
      </c>
      <c r="G13">
        <v>575</v>
      </c>
      <c r="H13" s="1">
        <v>4.9000000000000004</v>
      </c>
    </row>
    <row r="14" spans="1:8" x14ac:dyDescent="0.35">
      <c r="A14" s="1">
        <v>1013</v>
      </c>
      <c r="B14" t="s">
        <v>8</v>
      </c>
      <c r="C14" t="s">
        <v>9</v>
      </c>
      <c r="D14" t="s">
        <v>10</v>
      </c>
      <c r="E14" s="1">
        <v>7</v>
      </c>
      <c r="F14">
        <v>315</v>
      </c>
      <c r="G14">
        <v>2205</v>
      </c>
      <c r="H14" s="1">
        <v>4.2</v>
      </c>
    </row>
    <row r="15" spans="1:8" x14ac:dyDescent="0.35">
      <c r="A15" s="1">
        <v>1014</v>
      </c>
      <c r="B15" t="s">
        <v>11</v>
      </c>
      <c r="C15" t="s">
        <v>12</v>
      </c>
      <c r="D15" t="s">
        <v>18</v>
      </c>
      <c r="E15" s="1">
        <v>30</v>
      </c>
      <c r="F15">
        <v>21</v>
      </c>
      <c r="G15">
        <v>630</v>
      </c>
      <c r="H15" s="1">
        <v>4.5999999999999996</v>
      </c>
    </row>
    <row r="16" spans="1:8" x14ac:dyDescent="0.35">
      <c r="A16" s="1">
        <v>1015</v>
      </c>
      <c r="B16" t="s">
        <v>14</v>
      </c>
      <c r="C16" t="s">
        <v>15</v>
      </c>
      <c r="D16" t="s">
        <v>10</v>
      </c>
      <c r="E16" s="1">
        <v>5</v>
      </c>
      <c r="F16">
        <v>305</v>
      </c>
      <c r="G16">
        <v>1525</v>
      </c>
      <c r="H16" s="1">
        <v>4.0999999999999996</v>
      </c>
    </row>
    <row r="17" spans="1:8" x14ac:dyDescent="0.35">
      <c r="A17" s="1">
        <v>1016</v>
      </c>
      <c r="B17" t="s">
        <v>16</v>
      </c>
      <c r="C17" t="s">
        <v>17</v>
      </c>
      <c r="D17" t="s">
        <v>13</v>
      </c>
      <c r="E17" s="1">
        <v>2</v>
      </c>
      <c r="F17">
        <v>980</v>
      </c>
      <c r="G17">
        <v>1960</v>
      </c>
      <c r="H17" s="1">
        <v>3.9</v>
      </c>
    </row>
    <row r="18" spans="1:8" x14ac:dyDescent="0.35">
      <c r="A18" s="1">
        <v>1017</v>
      </c>
      <c r="B18" t="s">
        <v>8</v>
      </c>
      <c r="C18" t="s">
        <v>9</v>
      </c>
      <c r="D18" t="s">
        <v>18</v>
      </c>
      <c r="E18" s="1">
        <v>22</v>
      </c>
      <c r="F18">
        <v>24</v>
      </c>
      <c r="G18">
        <v>528</v>
      </c>
      <c r="H18" s="1">
        <v>4.7</v>
      </c>
    </row>
    <row r="19" spans="1:8" x14ac:dyDescent="0.35">
      <c r="A19" s="1">
        <v>1018</v>
      </c>
      <c r="B19" t="s">
        <v>11</v>
      </c>
      <c r="C19" t="s">
        <v>12</v>
      </c>
      <c r="D19" t="s">
        <v>10</v>
      </c>
      <c r="E19" s="1">
        <v>3</v>
      </c>
      <c r="F19">
        <v>299</v>
      </c>
      <c r="G19">
        <v>897</v>
      </c>
      <c r="H19" s="1">
        <v>3.7</v>
      </c>
    </row>
    <row r="20" spans="1:8" x14ac:dyDescent="0.35">
      <c r="A20" s="1">
        <v>1019</v>
      </c>
      <c r="B20" t="s">
        <v>14</v>
      </c>
      <c r="C20" t="s">
        <v>15</v>
      </c>
      <c r="D20" t="s">
        <v>18</v>
      </c>
      <c r="E20" s="1">
        <v>19</v>
      </c>
      <c r="F20">
        <v>23</v>
      </c>
      <c r="G20">
        <v>437</v>
      </c>
      <c r="H20" s="1">
        <v>4.5</v>
      </c>
    </row>
    <row r="21" spans="1:8" x14ac:dyDescent="0.35">
      <c r="A21" s="1">
        <v>1020</v>
      </c>
      <c r="B21" t="s">
        <v>16</v>
      </c>
      <c r="C21" t="s">
        <v>17</v>
      </c>
      <c r="D21" t="s">
        <v>10</v>
      </c>
      <c r="E21" s="1">
        <v>8</v>
      </c>
      <c r="F21">
        <v>310</v>
      </c>
      <c r="G21">
        <v>2480</v>
      </c>
      <c r="H21" s="1">
        <v>4.4000000000000004</v>
      </c>
    </row>
  </sheetData>
  <autoFilter ref="A1:H2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2"/>
  <sheetViews>
    <sheetView tabSelected="1" zoomScaleNormal="100" workbookViewId="0">
      <selection activeCell="A52" sqref="A52"/>
    </sheetView>
  </sheetViews>
  <sheetFormatPr defaultRowHeight="14.5" x14ac:dyDescent="0.35"/>
  <cols>
    <col min="1" max="1" width="75.36328125" style="3" bestFit="1" customWidth="1"/>
    <col min="2" max="2" width="11.81640625" style="3" bestFit="1" customWidth="1"/>
    <col min="3" max="3" width="8.6328125" style="3" bestFit="1" customWidth="1"/>
    <col min="4" max="4" width="13.453125" style="3" bestFit="1" customWidth="1"/>
    <col min="5" max="16384" width="8.7265625" style="3"/>
  </cols>
  <sheetData>
    <row r="1" spans="1:3" x14ac:dyDescent="0.35">
      <c r="A1" s="3" t="s">
        <v>19</v>
      </c>
    </row>
    <row r="3" spans="1:3" x14ac:dyDescent="0.35">
      <c r="A3" s="3" t="s">
        <v>20</v>
      </c>
    </row>
    <row r="4" spans="1:3" x14ac:dyDescent="0.35">
      <c r="A4" s="3" t="s">
        <v>21</v>
      </c>
    </row>
    <row r="5" spans="1:3" x14ac:dyDescent="0.35">
      <c r="A5" s="3" t="s">
        <v>22</v>
      </c>
    </row>
    <row r="6" spans="1:3" x14ac:dyDescent="0.35">
      <c r="A6" s="3" t="s">
        <v>23</v>
      </c>
    </row>
    <row r="8" spans="1:3" x14ac:dyDescent="0.35">
      <c r="A8" s="3" t="s">
        <v>24</v>
      </c>
    </row>
    <row r="9" spans="1:3" x14ac:dyDescent="0.35">
      <c r="A9" s="3" t="s">
        <v>25</v>
      </c>
    </row>
    <row r="11" spans="1:3" x14ac:dyDescent="0.35">
      <c r="A11" s="3" t="s">
        <v>26</v>
      </c>
    </row>
    <row r="12" spans="1:3" x14ac:dyDescent="0.35">
      <c r="A12" s="3" t="s">
        <v>27</v>
      </c>
    </row>
    <row r="13" spans="1:3" x14ac:dyDescent="0.35">
      <c r="A13" s="3" t="s">
        <v>28</v>
      </c>
      <c r="B13" s="4" t="s">
        <v>64</v>
      </c>
      <c r="C13" s="5">
        <f>AVERAGE(Sales_Data!G2:G21)</f>
        <v>1275.45</v>
      </c>
    </row>
    <row r="14" spans="1:3" x14ac:dyDescent="0.35">
      <c r="A14" s="3" t="s">
        <v>29</v>
      </c>
      <c r="B14" s="4" t="s">
        <v>65</v>
      </c>
      <c r="C14" s="5">
        <f>MEDIAN(Sales_Data!G2:G21)</f>
        <v>1220</v>
      </c>
    </row>
    <row r="15" spans="1:3" x14ac:dyDescent="0.35">
      <c r="A15" s="3" t="s">
        <v>30</v>
      </c>
      <c r="B15" s="4" t="s">
        <v>66</v>
      </c>
      <c r="C15" s="5">
        <f>MIN(Sales_Data!G2:G21)</f>
        <v>330</v>
      </c>
    </row>
    <row r="16" spans="1:3" x14ac:dyDescent="0.35">
      <c r="A16" s="3" t="s">
        <v>31</v>
      </c>
      <c r="B16" s="4" t="s">
        <v>67</v>
      </c>
      <c r="C16" s="5">
        <f>MAX(Sales_Data!G2:G21)</f>
        <v>2700</v>
      </c>
    </row>
    <row r="17" spans="1:10" x14ac:dyDescent="0.35">
      <c r="A17" s="3" t="s">
        <v>32</v>
      </c>
      <c r="B17" s="4" t="s">
        <v>68</v>
      </c>
      <c r="C17" s="5">
        <f>MAX(Sales_Data!G2:G21)-MIN(Sales_Data!G2:G21)</f>
        <v>2370</v>
      </c>
    </row>
    <row r="18" spans="1:10" x14ac:dyDescent="0.35">
      <c r="A18" s="3" t="s">
        <v>33</v>
      </c>
      <c r="B18" s="4" t="s">
        <v>69</v>
      </c>
      <c r="C18" s="5">
        <f>_xlfn.STDEV.S(Sales_Data!G2:G21)</f>
        <v>742.04932982567732</v>
      </c>
    </row>
    <row r="20" spans="1:10" x14ac:dyDescent="0.35">
      <c r="A20" s="3" t="s">
        <v>34</v>
      </c>
    </row>
    <row r="22" spans="1:10" x14ac:dyDescent="0.35">
      <c r="A22" s="3" t="s">
        <v>35</v>
      </c>
    </row>
    <row r="23" spans="1:10" x14ac:dyDescent="0.35">
      <c r="A23" s="3" t="s">
        <v>36</v>
      </c>
      <c r="B23" s="4" t="s">
        <v>14</v>
      </c>
      <c r="C23" s="4" t="s">
        <v>8</v>
      </c>
      <c r="D23" s="4" t="s">
        <v>11</v>
      </c>
      <c r="E23" s="4" t="s">
        <v>16</v>
      </c>
    </row>
    <row r="24" spans="1:10" x14ac:dyDescent="0.35">
      <c r="A24" s="3" t="s">
        <v>37</v>
      </c>
      <c r="B24" s="6">
        <f>AVERAGE(Sales_Data!G4,Sales_Data!G8,Sales_Data!G12,Sales_Data!G16,Sales_Data!G20)</f>
        <v>1018.4</v>
      </c>
      <c r="C24" s="6">
        <f>AVERAGE(Sales_Data!G2,Sales_Data!G6,Sales_Data!G10,Sales_Data!G14,Sales_Data!G18)</f>
        <v>1193</v>
      </c>
      <c r="D24" s="6">
        <f>AVERAGE(Sales_Data!G3,Sales_Data!G7,Sales_Data!G11,Sales_Data!G15,Sales_Data!G19)</f>
        <v>1433.4</v>
      </c>
      <c r="E24" s="6">
        <f>AVERAGE(Sales_Data!G5,Sales_Data!G9,Sales_Data!G13,Sales_Data!G17,Sales_Data!G21)</f>
        <v>1457</v>
      </c>
    </row>
    <row r="25" spans="1:10" x14ac:dyDescent="0.35">
      <c r="A25" s="3" t="s">
        <v>38</v>
      </c>
      <c r="B25" s="7" t="s">
        <v>58</v>
      </c>
      <c r="C25" s="7"/>
      <c r="D25" s="7"/>
      <c r="E25" s="7"/>
      <c r="F25" s="7"/>
      <c r="G25" s="7"/>
      <c r="H25" s="7"/>
      <c r="I25" s="7"/>
      <c r="J25" s="7"/>
    </row>
    <row r="26" spans="1:10" x14ac:dyDescent="0.35">
      <c r="A26" s="3" t="s">
        <v>39</v>
      </c>
      <c r="B26" s="7" t="s">
        <v>59</v>
      </c>
      <c r="C26" s="7"/>
      <c r="D26" s="7"/>
      <c r="E26" s="7"/>
      <c r="F26" s="7"/>
      <c r="G26" s="7"/>
      <c r="H26" s="7"/>
      <c r="I26" s="7"/>
      <c r="J26" s="7"/>
    </row>
    <row r="28" spans="1:10" x14ac:dyDescent="0.35">
      <c r="A28" s="3" t="s">
        <v>40</v>
      </c>
    </row>
    <row r="29" spans="1:10" x14ac:dyDescent="0.35">
      <c r="A29" s="3" t="s">
        <v>41</v>
      </c>
      <c r="B29" s="4" t="s">
        <v>10</v>
      </c>
      <c r="C29" s="4" t="s">
        <v>13</v>
      </c>
      <c r="D29" s="4" t="s">
        <v>60</v>
      </c>
    </row>
    <row r="30" spans="1:10" x14ac:dyDescent="0.35">
      <c r="A30" s="3" t="s">
        <v>42</v>
      </c>
      <c r="B30" s="6">
        <f>AVERAGE(Sales_Data!G2,Sales_Data!G4,Sales_Data!G7,Sales_Data!G9,Sales_Data!G14,Sales_Data!G16,Sales_Data!G19,Sales_Data!G21)</f>
        <v>1577.125</v>
      </c>
      <c r="C30" s="6">
        <f>AVERAGE(Sales_Data!G3,Sales_Data!G6,Sales_Data!G11,Sales_Data!G12,Sales_Data!G17)</f>
        <v>1892</v>
      </c>
      <c r="D30" s="6">
        <f>AVERAGE(Sales_Data!G5,Sales_Data!G8,Sales_Data!G10,Sales_Data!G13,Sales_Data!G15,Sales_Data!G18,Sales_Data!G20)</f>
        <v>490.28571428571428</v>
      </c>
    </row>
    <row r="31" spans="1:10" x14ac:dyDescent="0.35">
      <c r="A31" s="3" t="s">
        <v>43</v>
      </c>
      <c r="B31" s="7" t="s">
        <v>61</v>
      </c>
      <c r="C31" s="7"/>
      <c r="D31" s="7"/>
      <c r="E31" s="7"/>
      <c r="F31" s="7"/>
    </row>
    <row r="32" spans="1:10" x14ac:dyDescent="0.35">
      <c r="A32" s="3" t="s">
        <v>44</v>
      </c>
      <c r="B32" s="7" t="s">
        <v>62</v>
      </c>
      <c r="C32" s="7"/>
      <c r="D32" s="7"/>
      <c r="E32" s="7"/>
      <c r="F32" s="7"/>
    </row>
    <row r="34" spans="1:9" x14ac:dyDescent="0.35">
      <c r="A34" s="3" t="s">
        <v>45</v>
      </c>
    </row>
    <row r="35" spans="1:9" x14ac:dyDescent="0.35">
      <c r="A35" s="3" t="s">
        <v>46</v>
      </c>
      <c r="B35" s="4" t="s">
        <v>9</v>
      </c>
      <c r="C35" s="4" t="s">
        <v>12</v>
      </c>
      <c r="D35" s="4" t="s">
        <v>15</v>
      </c>
      <c r="E35" s="4" t="s">
        <v>17</v>
      </c>
    </row>
    <row r="36" spans="1:9" x14ac:dyDescent="0.35">
      <c r="A36" s="3" t="s">
        <v>47</v>
      </c>
      <c r="B36" s="5">
        <f>AVERAGE(Sales_Data!G2,Sales_Data!G6,Sales_Data!G10,Sales_Data!G14,Sales_Data!G18)</f>
        <v>1193</v>
      </c>
      <c r="C36" s="5">
        <f>AVERAGE(Sales_Data!G3,Sales_Data!G7,Sales_Data!G11,Sales_Data!G15,Sales_Data!G19)</f>
        <v>1433.4</v>
      </c>
      <c r="D36" s="5">
        <f>AVERAGE(Sales_Data!G4,Sales_Data!G8,Sales_Data!G12,Sales_Data!G16,Sales_Data!G20)</f>
        <v>1018.4</v>
      </c>
      <c r="E36" s="5">
        <f>AVERAGE(Sales_Data!G5,Sales_Data!G9,Sales_Data!G13,Sales_Data!G17,Sales_Data!G21)</f>
        <v>1457</v>
      </c>
    </row>
    <row r="37" spans="1:9" x14ac:dyDescent="0.35">
      <c r="A37" s="3" t="s">
        <v>48</v>
      </c>
      <c r="B37" s="8" t="s">
        <v>63</v>
      </c>
      <c r="C37" s="8"/>
      <c r="D37" s="8"/>
      <c r="E37" s="8"/>
    </row>
    <row r="38" spans="1:9" x14ac:dyDescent="0.35">
      <c r="A38" s="3" t="s">
        <v>49</v>
      </c>
      <c r="B38" s="7" t="s">
        <v>72</v>
      </c>
      <c r="C38" s="7"/>
      <c r="D38" s="7"/>
      <c r="E38" s="7"/>
      <c r="F38" s="7"/>
      <c r="G38" s="7"/>
      <c r="H38" s="7"/>
      <c r="I38" s="7"/>
    </row>
    <row r="40" spans="1:9" x14ac:dyDescent="0.35">
      <c r="A40" s="3" t="s">
        <v>50</v>
      </c>
    </row>
    <row r="41" spans="1:9" x14ac:dyDescent="0.35">
      <c r="A41" s="3" t="s">
        <v>51</v>
      </c>
    </row>
    <row r="42" spans="1:9" x14ac:dyDescent="0.35">
      <c r="A42" s="3" t="s">
        <v>52</v>
      </c>
      <c r="B42" s="4" t="s">
        <v>64</v>
      </c>
      <c r="C42" s="9">
        <f>AVERAGE(Sales_Data!H2:H21)</f>
        <v>4.3150000000000004</v>
      </c>
    </row>
    <row r="43" spans="1:9" x14ac:dyDescent="0.35">
      <c r="A43" s="3" t="s">
        <v>53</v>
      </c>
      <c r="B43" s="4" t="s">
        <v>66</v>
      </c>
      <c r="C43" s="10">
        <f>MIN(Sales_Data!H2:H21)</f>
        <v>3.7</v>
      </c>
    </row>
    <row r="44" spans="1:9" x14ac:dyDescent="0.35">
      <c r="A44" s="3" t="s">
        <v>54</v>
      </c>
      <c r="B44" s="11" t="s">
        <v>67</v>
      </c>
      <c r="C44" s="12">
        <f>MAX(Sales_Data!H2:H21)</f>
        <v>4.9000000000000004</v>
      </c>
    </row>
    <row r="45" spans="1:9" ht="14.5" customHeight="1" x14ac:dyDescent="0.35">
      <c r="B45" s="13" t="s">
        <v>70</v>
      </c>
      <c r="C45" s="13"/>
      <c r="D45" s="13"/>
      <c r="E45" s="13"/>
      <c r="F45" s="13"/>
      <c r="G45" s="13"/>
      <c r="H45" s="13"/>
    </row>
    <row r="46" spans="1:9" x14ac:dyDescent="0.35">
      <c r="B46" s="13"/>
      <c r="C46" s="13"/>
      <c r="D46" s="13"/>
      <c r="E46" s="13"/>
      <c r="F46" s="13"/>
      <c r="G46" s="13"/>
      <c r="H46" s="13"/>
    </row>
    <row r="47" spans="1:9" x14ac:dyDescent="0.35">
      <c r="A47" s="3" t="s">
        <v>55</v>
      </c>
    </row>
    <row r="48" spans="1:9" ht="14.5" customHeight="1" x14ac:dyDescent="0.35">
      <c r="A48" s="3" t="s">
        <v>56</v>
      </c>
      <c r="B48" s="13" t="s">
        <v>71</v>
      </c>
      <c r="C48" s="13"/>
      <c r="D48" s="13"/>
      <c r="E48" s="13"/>
      <c r="F48" s="13"/>
      <c r="G48" s="13"/>
      <c r="H48" s="13"/>
    </row>
    <row r="49" spans="1:8" x14ac:dyDescent="0.35">
      <c r="A49" s="3" t="s">
        <v>57</v>
      </c>
      <c r="B49" s="13"/>
      <c r="C49" s="13"/>
      <c r="D49" s="13"/>
      <c r="E49" s="13"/>
      <c r="F49" s="13"/>
      <c r="G49" s="13"/>
      <c r="H49" s="13"/>
    </row>
    <row r="50" spans="1:8" x14ac:dyDescent="0.35">
      <c r="B50" s="13"/>
      <c r="C50" s="13"/>
      <c r="D50" s="13"/>
      <c r="E50" s="13"/>
      <c r="F50" s="13"/>
      <c r="G50" s="13"/>
      <c r="H50" s="13"/>
    </row>
    <row r="51" spans="1:8" x14ac:dyDescent="0.35">
      <c r="B51" s="13"/>
      <c r="C51" s="13"/>
      <c r="D51" s="13"/>
      <c r="E51" s="13"/>
      <c r="F51" s="13"/>
      <c r="G51" s="13"/>
      <c r="H51" s="13"/>
    </row>
    <row r="52" spans="1:8" x14ac:dyDescent="0.35">
      <c r="B52" s="13"/>
      <c r="C52" s="13"/>
      <c r="D52" s="13"/>
      <c r="E52" s="13"/>
      <c r="F52" s="13"/>
      <c r="G52" s="13"/>
      <c r="H52" s="13"/>
    </row>
    <row r="53" spans="1:8" x14ac:dyDescent="0.35">
      <c r="B53" s="13"/>
      <c r="C53" s="13"/>
      <c r="D53" s="13"/>
      <c r="E53" s="13"/>
      <c r="F53" s="13"/>
      <c r="G53" s="13"/>
      <c r="H53" s="13"/>
    </row>
    <row r="54" spans="1:8" x14ac:dyDescent="0.35">
      <c r="B54" s="13"/>
      <c r="C54" s="13"/>
      <c r="D54" s="13"/>
      <c r="E54" s="13"/>
      <c r="F54" s="13"/>
      <c r="G54" s="13"/>
      <c r="H54" s="13"/>
    </row>
    <row r="55" spans="1:8" x14ac:dyDescent="0.35">
      <c r="B55" s="13"/>
      <c r="C55" s="13"/>
      <c r="D55" s="13"/>
      <c r="E55" s="13"/>
      <c r="F55" s="13"/>
      <c r="G55" s="13"/>
      <c r="H55" s="13"/>
    </row>
    <row r="56" spans="1:8" x14ac:dyDescent="0.35">
      <c r="B56" s="13"/>
      <c r="C56" s="13"/>
      <c r="D56" s="13"/>
      <c r="E56" s="13"/>
      <c r="F56" s="13"/>
      <c r="G56" s="13"/>
      <c r="H56" s="13"/>
    </row>
    <row r="57" spans="1:8" x14ac:dyDescent="0.35">
      <c r="B57" s="13"/>
      <c r="C57" s="13"/>
      <c r="D57" s="13"/>
      <c r="E57" s="13"/>
      <c r="F57" s="13"/>
      <c r="G57" s="13"/>
      <c r="H57" s="13"/>
    </row>
    <row r="58" spans="1:8" x14ac:dyDescent="0.35">
      <c r="B58" s="13"/>
      <c r="C58" s="13"/>
      <c r="D58" s="13"/>
      <c r="E58" s="13"/>
      <c r="F58" s="13"/>
      <c r="G58" s="13"/>
      <c r="H58" s="13"/>
    </row>
    <row r="59" spans="1:8" x14ac:dyDescent="0.35">
      <c r="B59" s="13"/>
      <c r="C59" s="13"/>
      <c r="D59" s="13"/>
      <c r="E59" s="13"/>
      <c r="F59" s="13"/>
      <c r="G59" s="13"/>
      <c r="H59" s="13"/>
    </row>
    <row r="60" spans="1:8" x14ac:dyDescent="0.35">
      <c r="B60" s="13"/>
      <c r="C60" s="13"/>
      <c r="D60" s="13"/>
      <c r="E60" s="13"/>
      <c r="F60" s="13"/>
      <c r="G60" s="13"/>
      <c r="H60" s="13"/>
    </row>
    <row r="61" spans="1:8" x14ac:dyDescent="0.35">
      <c r="B61" s="13"/>
      <c r="C61" s="13"/>
      <c r="D61" s="13"/>
      <c r="E61" s="13"/>
      <c r="F61" s="13"/>
      <c r="G61" s="13"/>
      <c r="H61" s="13"/>
    </row>
    <row r="62" spans="1:8" x14ac:dyDescent="0.35">
      <c r="B62" s="13"/>
      <c r="C62" s="13"/>
      <c r="D62" s="13"/>
      <c r="E62" s="13"/>
      <c r="F62" s="13"/>
      <c r="G62" s="13"/>
      <c r="H62" s="13"/>
    </row>
  </sheetData>
  <mergeCells count="8">
    <mergeCell ref="B48:H62"/>
    <mergeCell ref="B37:E37"/>
    <mergeCell ref="B45:H46"/>
    <mergeCell ref="B38:I38"/>
    <mergeCell ref="B31:F31"/>
    <mergeCell ref="B32:F32"/>
    <mergeCell ref="B26:J26"/>
    <mergeCell ref="B25:J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Exercise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openpyxl;Marenza Santarin</dc:creator>
  <cp:keywords/>
  <dc:description/>
  <cp:lastModifiedBy>marenza santarin</cp:lastModifiedBy>
  <cp:revision/>
  <dcterms:created xsi:type="dcterms:W3CDTF">2026-04-07T19:25:39Z</dcterms:created>
  <dcterms:modified xsi:type="dcterms:W3CDTF">2026-04-08T20:04:20Z</dcterms:modified>
  <cp:category/>
  <cp:contentStatus/>
</cp:coreProperties>
</file>