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renzasantarin\Downloads\"/>
    </mc:Choice>
  </mc:AlternateContent>
  <xr:revisionPtr revIDLastSave="0" documentId="13_ncr:1_{ACA017A8-5B3A-4443-A555-5773A5BA58F3}" xr6:coauthVersionLast="47" xr6:coauthVersionMax="47" xr10:uidLastSave="{00000000-0000-0000-0000-000000000000}"/>
  <bookViews>
    <workbookView xWindow="-110" yWindow="-110" windowWidth="19420" windowHeight="11500" tabRatio="671" xr2:uid="{00000000-000D-0000-FFFF-FFFF00000000}"/>
  </bookViews>
  <sheets>
    <sheet name="Raw Sales Data" sheetId="1" r:id="rId1"/>
    <sheet name="Total Sales by Product" sheetId="5" r:id="rId2"/>
    <sheet name="Top Region by Revenue" sheetId="6" r:id="rId3"/>
    <sheet name="Top 5 Customers by Sales" sheetId="8" r:id="rId4"/>
  </sheets>
  <calcPr calcId="191028"/>
  <pivotCaches>
    <pivotCache cacheId="1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2" i="1"/>
  <c r="U96" i="1"/>
  <c r="U95" i="1"/>
  <c r="U94" i="1"/>
  <c r="U93" i="1"/>
  <c r="U92" i="1"/>
  <c r="U91" i="1"/>
  <c r="U90" i="1"/>
  <c r="U89" i="1"/>
  <c r="U88" i="1"/>
  <c r="U87" i="1"/>
  <c r="U86" i="1"/>
  <c r="U85" i="1"/>
  <c r="U84" i="1"/>
  <c r="U83" i="1"/>
  <c r="U82" i="1"/>
  <c r="U81" i="1"/>
  <c r="U80" i="1"/>
  <c r="U79" i="1"/>
  <c r="U78" i="1"/>
  <c r="U77" i="1"/>
  <c r="U76" i="1"/>
  <c r="U75" i="1"/>
  <c r="U74" i="1"/>
  <c r="U73" i="1"/>
  <c r="U72" i="1"/>
  <c r="U71" i="1"/>
  <c r="U70" i="1"/>
  <c r="U69" i="1"/>
  <c r="U68" i="1"/>
  <c r="U67" i="1"/>
  <c r="U66" i="1"/>
  <c r="U65" i="1"/>
  <c r="U64" i="1"/>
  <c r="U63" i="1"/>
  <c r="U62" i="1"/>
  <c r="U61" i="1"/>
  <c r="U60" i="1"/>
  <c r="U59" i="1"/>
  <c r="U58" i="1"/>
  <c r="U57" i="1"/>
  <c r="U56" i="1"/>
  <c r="U55" i="1"/>
  <c r="U54" i="1"/>
  <c r="U53" i="1"/>
  <c r="U52" i="1"/>
  <c r="U51" i="1"/>
  <c r="U50" i="1"/>
  <c r="U49" i="1"/>
  <c r="U48" i="1"/>
  <c r="U47" i="1"/>
  <c r="U46" i="1"/>
  <c r="U45" i="1"/>
  <c r="U44" i="1"/>
  <c r="U43" i="1"/>
  <c r="U42" i="1"/>
  <c r="U41" i="1"/>
  <c r="U40" i="1"/>
  <c r="U39" i="1"/>
  <c r="U38" i="1"/>
  <c r="U37" i="1"/>
  <c r="U36" i="1"/>
  <c r="U35" i="1"/>
  <c r="U34" i="1"/>
  <c r="U33" i="1"/>
  <c r="U32" i="1"/>
  <c r="U31" i="1"/>
  <c r="U30" i="1"/>
  <c r="U29" i="1"/>
  <c r="U28" i="1"/>
  <c r="U27" i="1"/>
  <c r="U26" i="1"/>
  <c r="U25" i="1"/>
  <c r="U24" i="1"/>
  <c r="U23" i="1"/>
  <c r="U22" i="1"/>
  <c r="U21" i="1"/>
  <c r="U20" i="1"/>
  <c r="U19" i="1"/>
  <c r="U18" i="1"/>
  <c r="U17" i="1"/>
  <c r="U16" i="1"/>
  <c r="U15" i="1"/>
  <c r="U14" i="1"/>
  <c r="U13" i="1"/>
  <c r="U12" i="1"/>
  <c r="U11" i="1"/>
  <c r="U10" i="1"/>
  <c r="U9" i="1"/>
  <c r="U8" i="1"/>
  <c r="U7" i="1"/>
  <c r="U6" i="1"/>
  <c r="U5" i="1"/>
  <c r="U4" i="1"/>
  <c r="U3" i="1"/>
  <c r="U2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4" i="1"/>
  <c r="I3" i="1"/>
  <c r="I2" i="1"/>
  <c r="Q22" i="1"/>
  <c r="Q23" i="1"/>
  <c r="Q24" i="1"/>
  <c r="Q46" i="1"/>
  <c r="Q47" i="1"/>
  <c r="Q48" i="1"/>
  <c r="Q49" i="1"/>
  <c r="Q60" i="1"/>
  <c r="Q61" i="1"/>
  <c r="Q62" i="1"/>
  <c r="Q96" i="1"/>
  <c r="Q2" i="1"/>
  <c r="P3" i="1"/>
  <c r="P4" i="1"/>
  <c r="P5" i="1"/>
  <c r="P6" i="1"/>
  <c r="P7" i="1"/>
  <c r="P8" i="1"/>
  <c r="P9" i="1"/>
  <c r="P10" i="1"/>
  <c r="P11" i="1"/>
  <c r="P12" i="1"/>
  <c r="Q12" i="1" s="1"/>
  <c r="P13" i="1"/>
  <c r="Q13" i="1" s="1"/>
  <c r="P14" i="1"/>
  <c r="Q14" i="1" s="1"/>
  <c r="P15" i="1"/>
  <c r="P16" i="1"/>
  <c r="P17" i="1"/>
  <c r="P18" i="1"/>
  <c r="P19" i="1"/>
  <c r="P20" i="1"/>
  <c r="P21" i="1"/>
  <c r="P22" i="1"/>
  <c r="P23" i="1"/>
  <c r="P24" i="1"/>
  <c r="P25" i="1"/>
  <c r="P26" i="1"/>
  <c r="Q26" i="1" s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Q82" i="1" s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2" i="1"/>
  <c r="O3" i="1"/>
  <c r="O4" i="1"/>
  <c r="O5" i="1"/>
  <c r="O6" i="1"/>
  <c r="Q6" i="1" s="1"/>
  <c r="O7" i="1"/>
  <c r="Q7" i="1" s="1"/>
  <c r="O8" i="1"/>
  <c r="O9" i="1"/>
  <c r="Q9" i="1" s="1"/>
  <c r="O10" i="1"/>
  <c r="O11" i="1"/>
  <c r="O12" i="1"/>
  <c r="O13" i="1"/>
  <c r="O14" i="1"/>
  <c r="O15" i="1"/>
  <c r="O16" i="1"/>
  <c r="O17" i="1"/>
  <c r="O18" i="1"/>
  <c r="Q18" i="1" s="1"/>
  <c r="O19" i="1"/>
  <c r="Q19" i="1" s="1"/>
  <c r="O20" i="1"/>
  <c r="O21" i="1"/>
  <c r="Q21" i="1" s="1"/>
  <c r="O22" i="1"/>
  <c r="O23" i="1"/>
  <c r="O24" i="1"/>
  <c r="O25" i="1"/>
  <c r="Q25" i="1" s="1"/>
  <c r="O26" i="1"/>
  <c r="O27" i="1"/>
  <c r="O28" i="1"/>
  <c r="O29" i="1"/>
  <c r="O30" i="1"/>
  <c r="Q30" i="1" s="1"/>
  <c r="O31" i="1"/>
  <c r="Q31" i="1" s="1"/>
  <c r="O32" i="1"/>
  <c r="Q32" i="1" s="1"/>
  <c r="O33" i="1"/>
  <c r="Q33" i="1" s="1"/>
  <c r="O34" i="1"/>
  <c r="O35" i="1"/>
  <c r="O36" i="1"/>
  <c r="Q36" i="1" s="1"/>
  <c r="O37" i="1"/>
  <c r="Q37" i="1" s="1"/>
  <c r="O38" i="1"/>
  <c r="Q38" i="1" s="1"/>
  <c r="O39" i="1"/>
  <c r="O40" i="1"/>
  <c r="O41" i="1"/>
  <c r="O42" i="1"/>
  <c r="Q42" i="1" s="1"/>
  <c r="O43" i="1"/>
  <c r="Q43" i="1" s="1"/>
  <c r="O44" i="1"/>
  <c r="O45" i="1"/>
  <c r="Q45" i="1" s="1"/>
  <c r="O46" i="1"/>
  <c r="O47" i="1"/>
  <c r="O48" i="1"/>
  <c r="O49" i="1"/>
  <c r="O50" i="1"/>
  <c r="O51" i="1"/>
  <c r="O52" i="1"/>
  <c r="O53" i="1"/>
  <c r="O54" i="1"/>
  <c r="Q54" i="1" s="1"/>
  <c r="O55" i="1"/>
  <c r="Q55" i="1" s="1"/>
  <c r="O56" i="1"/>
  <c r="O57" i="1"/>
  <c r="Q57" i="1" s="1"/>
  <c r="O58" i="1"/>
  <c r="O59" i="1"/>
  <c r="O60" i="1"/>
  <c r="O61" i="1"/>
  <c r="O62" i="1"/>
  <c r="O63" i="1"/>
  <c r="O64" i="1"/>
  <c r="O65" i="1"/>
  <c r="O66" i="1"/>
  <c r="Q66" i="1" s="1"/>
  <c r="O67" i="1"/>
  <c r="Q67" i="1" s="1"/>
  <c r="O68" i="1"/>
  <c r="O69" i="1"/>
  <c r="Q69" i="1" s="1"/>
  <c r="O70" i="1"/>
  <c r="O71" i="1"/>
  <c r="O72" i="1"/>
  <c r="O73" i="1"/>
  <c r="O74" i="1"/>
  <c r="O75" i="1"/>
  <c r="O76" i="1"/>
  <c r="O77" i="1"/>
  <c r="O78" i="1"/>
  <c r="Q78" i="1" s="1"/>
  <c r="O79" i="1"/>
  <c r="Q79" i="1" s="1"/>
  <c r="O80" i="1"/>
  <c r="O81" i="1"/>
  <c r="Q81" i="1" s="1"/>
  <c r="O82" i="1"/>
  <c r="O83" i="1"/>
  <c r="Q83" i="1" s="1"/>
  <c r="O84" i="1"/>
  <c r="Q84" i="1" s="1"/>
  <c r="O85" i="1"/>
  <c r="Q85" i="1" s="1"/>
  <c r="O86" i="1"/>
  <c r="Q86" i="1" s="1"/>
  <c r="O87" i="1"/>
  <c r="O88" i="1"/>
  <c r="O89" i="1"/>
  <c r="O90" i="1"/>
  <c r="Q90" i="1" s="1"/>
  <c r="O91" i="1"/>
  <c r="Q91" i="1" s="1"/>
  <c r="O92" i="1"/>
  <c r="O93" i="1"/>
  <c r="Q93" i="1" s="1"/>
  <c r="O94" i="1"/>
  <c r="O95" i="1"/>
  <c r="O96" i="1"/>
  <c r="O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2" i="1"/>
  <c r="Q72" i="1" l="1"/>
  <c r="Q95" i="1"/>
  <c r="Q71" i="1"/>
  <c r="Q59" i="1"/>
  <c r="Q35" i="1"/>
  <c r="Q11" i="1"/>
  <c r="Q94" i="1"/>
  <c r="Q70" i="1"/>
  <c r="Q58" i="1"/>
  <c r="Q34" i="1"/>
  <c r="Q10" i="1"/>
  <c r="Q74" i="1"/>
  <c r="Q73" i="1"/>
  <c r="Q50" i="1"/>
  <c r="Q44" i="1"/>
  <c r="Q92" i="1"/>
  <c r="Q68" i="1"/>
  <c r="Q56" i="1"/>
  <c r="Q20" i="1"/>
  <c r="Q89" i="1"/>
  <c r="Q65" i="1"/>
  <c r="Q53" i="1"/>
  <c r="Q17" i="1"/>
  <c r="Q5" i="1"/>
  <c r="Q88" i="1"/>
  <c r="Q76" i="1"/>
  <c r="Q64" i="1"/>
  <c r="Q52" i="1"/>
  <c r="Q40" i="1"/>
  <c r="Q28" i="1"/>
  <c r="Q16" i="1"/>
  <c r="Q4" i="1"/>
  <c r="Q87" i="1"/>
  <c r="Q75" i="1"/>
  <c r="Q63" i="1"/>
  <c r="Q51" i="1"/>
  <c r="Q39" i="1"/>
  <c r="Q27" i="1"/>
  <c r="Q15" i="1"/>
  <c r="Q3" i="1"/>
  <c r="Q77" i="1"/>
  <c r="Q29" i="1"/>
  <c r="Q80" i="1"/>
  <c r="Q8" i="1"/>
  <c r="Q41" i="1"/>
</calcChain>
</file>

<file path=xl/sharedStrings.xml><?xml version="1.0" encoding="utf-8"?>
<sst xmlns="http://schemas.openxmlformats.org/spreadsheetml/2006/main" count="711" uniqueCount="217">
  <si>
    <t>OrderID</t>
  </si>
  <si>
    <t>CustomerName</t>
  </si>
  <si>
    <t>Region</t>
  </si>
  <si>
    <t>City</t>
  </si>
  <si>
    <t>State</t>
  </si>
  <si>
    <t>Product</t>
  </si>
  <si>
    <t>UnitPrice</t>
  </si>
  <si>
    <t>Quantity</t>
  </si>
  <si>
    <t>TotalSales</t>
  </si>
  <si>
    <t>OrderDate</t>
  </si>
  <si>
    <t>Email</t>
  </si>
  <si>
    <t xml:space="preserve"> patricia TAYLOR</t>
  </si>
  <si>
    <t>south</t>
  </si>
  <si>
    <t>chicago</t>
  </si>
  <si>
    <t>il</t>
  </si>
  <si>
    <t>Keyboard%%</t>
  </si>
  <si>
    <t xml:space="preserve"> customer1@company.com </t>
  </si>
  <si>
    <t xml:space="preserve"> robert  wilson</t>
  </si>
  <si>
    <t>san antonio</t>
  </si>
  <si>
    <t>tx</t>
  </si>
  <si>
    <t>Laptop@@</t>
  </si>
  <si>
    <t xml:space="preserve"> customer2@company.com </t>
  </si>
  <si>
    <t>MICHAEL   jackson</t>
  </si>
  <si>
    <t>west</t>
  </si>
  <si>
    <t>Phone##</t>
  </si>
  <si>
    <t xml:space="preserve"> customer3@company.com </t>
  </si>
  <si>
    <t>MICHAEL  THOMAS</t>
  </si>
  <si>
    <t>san diego</t>
  </si>
  <si>
    <t>ca</t>
  </si>
  <si>
    <t xml:space="preserve"> customer4@company.com </t>
  </si>
  <si>
    <t xml:space="preserve"> robert  JOHNSON</t>
  </si>
  <si>
    <t>houston</t>
  </si>
  <si>
    <t xml:space="preserve"> customer5@company.com </t>
  </si>
  <si>
    <t>MARY  wilson</t>
  </si>
  <si>
    <t>Tablet!!</t>
  </si>
  <si>
    <t xml:space="preserve"> customer6@company.com </t>
  </si>
  <si>
    <t>MICHAEL  TAYLOR</t>
  </si>
  <si>
    <t>midwest</t>
  </si>
  <si>
    <t>los angeles</t>
  </si>
  <si>
    <t xml:space="preserve"> customer7@company.com </t>
  </si>
  <si>
    <t xml:space="preserve"> robert  DAVIS </t>
  </si>
  <si>
    <t>Monitor$$</t>
  </si>
  <si>
    <t xml:space="preserve"> customer8@company.com </t>
  </si>
  <si>
    <t>ELIZABETH   brown</t>
  </si>
  <si>
    <t xml:space="preserve"> customer9@company.com </t>
  </si>
  <si>
    <t>ELIZABETH  JOHNSON</t>
  </si>
  <si>
    <t>east</t>
  </si>
  <si>
    <t xml:space="preserve"> customer10@company.com </t>
  </si>
  <si>
    <t xml:space="preserve"> customer11@company.com </t>
  </si>
  <si>
    <t>ELIZABETH   moore</t>
  </si>
  <si>
    <t xml:space="preserve"> customer12@company.com </t>
  </si>
  <si>
    <t xml:space="preserve">barbara DAVIS </t>
  </si>
  <si>
    <t xml:space="preserve"> customer13@company.com </t>
  </si>
  <si>
    <t>barbara THOMAS</t>
  </si>
  <si>
    <t>philadelphia</t>
  </si>
  <si>
    <t>pa</t>
  </si>
  <si>
    <t xml:space="preserve"> customer14@company.com </t>
  </si>
  <si>
    <t xml:space="preserve"> patricia JOHNSON</t>
  </si>
  <si>
    <t>new york</t>
  </si>
  <si>
    <t>ny</t>
  </si>
  <si>
    <t xml:space="preserve"> customer15@company.com </t>
  </si>
  <si>
    <t>ELIZABETH  wilson</t>
  </si>
  <si>
    <t>phoenix</t>
  </si>
  <si>
    <t>az</t>
  </si>
  <si>
    <t xml:space="preserve"> customer16@company.com </t>
  </si>
  <si>
    <t xml:space="preserve"> robert  TAYLOR</t>
  </si>
  <si>
    <t xml:space="preserve"> customer17@company.com </t>
  </si>
  <si>
    <t>MICHAEL   moore</t>
  </si>
  <si>
    <t xml:space="preserve"> customer18@company.com </t>
  </si>
  <si>
    <t xml:space="preserve"> patricia  moore</t>
  </si>
  <si>
    <t xml:space="preserve"> customer19@company.com </t>
  </si>
  <si>
    <t xml:space="preserve">LINDA Anderson </t>
  </si>
  <si>
    <t xml:space="preserve"> customer20@company.com </t>
  </si>
  <si>
    <t xml:space="preserve"> william Anderson </t>
  </si>
  <si>
    <t xml:space="preserve"> customer22@company.com </t>
  </si>
  <si>
    <t xml:space="preserve"> customer23@company.com </t>
  </si>
  <si>
    <t xml:space="preserve"> customer24@company.com </t>
  </si>
  <si>
    <t>LINDA  moore</t>
  </si>
  <si>
    <t xml:space="preserve"> customer25@company.com </t>
  </si>
  <si>
    <t xml:space="preserve"> customer26@company.com </t>
  </si>
  <si>
    <t>James   moore</t>
  </si>
  <si>
    <t xml:space="preserve"> customer27@company.com </t>
  </si>
  <si>
    <t xml:space="preserve">MARY  DAVIS </t>
  </si>
  <si>
    <t xml:space="preserve"> customer28@company.com </t>
  </si>
  <si>
    <t xml:space="preserve"> patricia  jackson</t>
  </si>
  <si>
    <t xml:space="preserve"> customer29@company.com </t>
  </si>
  <si>
    <t xml:space="preserve"> customer30@company.com </t>
  </si>
  <si>
    <t xml:space="preserve"> robert  Anderson </t>
  </si>
  <si>
    <t xml:space="preserve"> customer31@company.com </t>
  </si>
  <si>
    <t>barbara TAYLOR</t>
  </si>
  <si>
    <t xml:space="preserve"> customer32@company.com </t>
  </si>
  <si>
    <t xml:space="preserve">LINDA DAVIS </t>
  </si>
  <si>
    <t xml:space="preserve"> customer33@company.com </t>
  </si>
  <si>
    <t>James   jackson</t>
  </si>
  <si>
    <t xml:space="preserve"> customer34@company.com </t>
  </si>
  <si>
    <t xml:space="preserve"> customer35@company.com </t>
  </si>
  <si>
    <t>barbara JOHNSON</t>
  </si>
  <si>
    <t xml:space="preserve"> customer36@company.com </t>
  </si>
  <si>
    <t xml:space="preserve"> william TAYLOR</t>
  </si>
  <si>
    <t xml:space="preserve"> customer37@company.com </t>
  </si>
  <si>
    <t>MARY   moore</t>
  </si>
  <si>
    <t xml:space="preserve"> customer38@company.com </t>
  </si>
  <si>
    <t xml:space="preserve"> john  jackson</t>
  </si>
  <si>
    <t xml:space="preserve"> customer39@company.com </t>
  </si>
  <si>
    <t xml:space="preserve"> customer40@company.com </t>
  </si>
  <si>
    <t>LINDA wilson</t>
  </si>
  <si>
    <t xml:space="preserve"> customer41@company.com </t>
  </si>
  <si>
    <t xml:space="preserve">MICHAEL  Anderson </t>
  </si>
  <si>
    <t xml:space="preserve"> customer42@company.com </t>
  </si>
  <si>
    <t xml:space="preserve">ELIZABETH  DAVIS </t>
  </si>
  <si>
    <t xml:space="preserve"> customer43@company.com </t>
  </si>
  <si>
    <t xml:space="preserve"> customer44@company.com </t>
  </si>
  <si>
    <t>ELIZABETH   jackson</t>
  </si>
  <si>
    <t xml:space="preserve"> customer45@company.com </t>
  </si>
  <si>
    <t>MARY  TAYLOR</t>
  </si>
  <si>
    <t xml:space="preserve"> customer47@company.com </t>
  </si>
  <si>
    <t>ELIZABETH  THOMAS</t>
  </si>
  <si>
    <t xml:space="preserve"> customer48@company.com </t>
  </si>
  <si>
    <t xml:space="preserve">barbara smith </t>
  </si>
  <si>
    <t xml:space="preserve"> customer49@company.com </t>
  </si>
  <si>
    <t xml:space="preserve"> customer50@company.com </t>
  </si>
  <si>
    <t xml:space="preserve"> robert   brown</t>
  </si>
  <si>
    <t xml:space="preserve"> customer51@company.com </t>
  </si>
  <si>
    <t>James  wilson</t>
  </si>
  <si>
    <t xml:space="preserve"> customer52@company.com </t>
  </si>
  <si>
    <t xml:space="preserve"> john wilson</t>
  </si>
  <si>
    <t xml:space="preserve"> customer53@company.com </t>
  </si>
  <si>
    <t xml:space="preserve"> william wilson</t>
  </si>
  <si>
    <t xml:space="preserve"> customer54@company.com </t>
  </si>
  <si>
    <t xml:space="preserve"> patricia wilson</t>
  </si>
  <si>
    <t xml:space="preserve"> customer55@company.com </t>
  </si>
  <si>
    <t>LINDA JOHNSON</t>
  </si>
  <si>
    <t xml:space="preserve"> customer56@company.com </t>
  </si>
  <si>
    <t xml:space="preserve"> customer57@company.com </t>
  </si>
  <si>
    <t>LINDA  brown</t>
  </si>
  <si>
    <t xml:space="preserve"> customer58@company.com </t>
  </si>
  <si>
    <t xml:space="preserve"> customer59@company.com </t>
  </si>
  <si>
    <t xml:space="preserve"> customer61@company.com </t>
  </si>
  <si>
    <t xml:space="preserve"> robert   moore</t>
  </si>
  <si>
    <t xml:space="preserve"> customer62@company.com </t>
  </si>
  <si>
    <t xml:space="preserve">James  smith </t>
  </si>
  <si>
    <t xml:space="preserve"> customer63@company.com </t>
  </si>
  <si>
    <t xml:space="preserve"> john  moore</t>
  </si>
  <si>
    <t xml:space="preserve"> customer64@company.com </t>
  </si>
  <si>
    <t xml:space="preserve"> customer65@company.com </t>
  </si>
  <si>
    <t xml:space="preserve">James  Anderson </t>
  </si>
  <si>
    <t xml:space="preserve"> customer66@company.com </t>
  </si>
  <si>
    <t xml:space="preserve"> customer67@company.com </t>
  </si>
  <si>
    <t xml:space="preserve"> patricia THOMAS</t>
  </si>
  <si>
    <t xml:space="preserve"> customer68@company.com </t>
  </si>
  <si>
    <t>barbara  brown</t>
  </si>
  <si>
    <t xml:space="preserve"> customer69@company.com </t>
  </si>
  <si>
    <t xml:space="preserve">LINDA smith </t>
  </si>
  <si>
    <t xml:space="preserve"> customer70@company.com </t>
  </si>
  <si>
    <t xml:space="preserve"> customer71@company.com </t>
  </si>
  <si>
    <t xml:space="preserve"> john DAVIS </t>
  </si>
  <si>
    <t xml:space="preserve"> customer72@company.com </t>
  </si>
  <si>
    <t xml:space="preserve"> john Anderson </t>
  </si>
  <si>
    <t xml:space="preserve"> customer73@company.com </t>
  </si>
  <si>
    <t xml:space="preserve"> customer74@company.com </t>
  </si>
  <si>
    <t>ELIZABETH  TAYLOR</t>
  </si>
  <si>
    <t xml:space="preserve"> customer75@company.com </t>
  </si>
  <si>
    <t>LINDA TAYLOR</t>
  </si>
  <si>
    <t xml:space="preserve"> customer76@company.com </t>
  </si>
  <si>
    <t xml:space="preserve"> customer77@company.com </t>
  </si>
  <si>
    <t xml:space="preserve"> customer78@company.com </t>
  </si>
  <si>
    <t>barbara wilson</t>
  </si>
  <si>
    <t xml:space="preserve"> customer79@company.com </t>
  </si>
  <si>
    <t xml:space="preserve"> william THOMAS</t>
  </si>
  <si>
    <t xml:space="preserve"> customer80@company.com </t>
  </si>
  <si>
    <t xml:space="preserve"> customer82@company.com </t>
  </si>
  <si>
    <t xml:space="preserve"> customer83@company.com </t>
  </si>
  <si>
    <t xml:space="preserve"> customer84@company.com </t>
  </si>
  <si>
    <t xml:space="preserve"> customer85@company.com </t>
  </si>
  <si>
    <t xml:space="preserve"> customer86@company.com </t>
  </si>
  <si>
    <t xml:space="preserve"> customer87@company.com </t>
  </si>
  <si>
    <t xml:space="preserve"> customer88@company.com </t>
  </si>
  <si>
    <t xml:space="preserve">MARY  smith </t>
  </si>
  <si>
    <t xml:space="preserve"> customer89@company.com </t>
  </si>
  <si>
    <t xml:space="preserve"> john  brown</t>
  </si>
  <si>
    <t xml:space="preserve"> customer90@company.com </t>
  </si>
  <si>
    <t xml:space="preserve">James  DAVIS </t>
  </si>
  <si>
    <t xml:space="preserve"> customer91@company.com </t>
  </si>
  <si>
    <t>LINDA THOMAS</t>
  </si>
  <si>
    <t xml:space="preserve"> customer92@company.com </t>
  </si>
  <si>
    <t xml:space="preserve"> customer93@company.com </t>
  </si>
  <si>
    <t xml:space="preserve"> customer94@company.com </t>
  </si>
  <si>
    <t xml:space="preserve"> customer96@company.com </t>
  </si>
  <si>
    <t>MARY  THOMAS</t>
  </si>
  <si>
    <t xml:space="preserve"> customer97@company.com </t>
  </si>
  <si>
    <t xml:space="preserve"> william  jackson</t>
  </si>
  <si>
    <t xml:space="preserve"> customer98@company.com </t>
  </si>
  <si>
    <t xml:space="preserve"> customer99@company.com </t>
  </si>
  <si>
    <t xml:space="preserve"> customer100@company.com </t>
  </si>
  <si>
    <t>CleanName</t>
  </si>
  <si>
    <t>Keyboard</t>
  </si>
  <si>
    <t>Laptop</t>
  </si>
  <si>
    <t>Phone</t>
  </si>
  <si>
    <t>Tablet</t>
  </si>
  <si>
    <t>Monitor</t>
  </si>
  <si>
    <t>ProperState</t>
  </si>
  <si>
    <t>CombinedLocation</t>
  </si>
  <si>
    <t>Grand Total</t>
  </si>
  <si>
    <t>Sum of TotalSales</t>
  </si>
  <si>
    <t>Robert Wilson</t>
  </si>
  <si>
    <t>Michael Thomas</t>
  </si>
  <si>
    <t>ProperCity</t>
  </si>
  <si>
    <t>PRODUCTS</t>
  </si>
  <si>
    <t>East</t>
  </si>
  <si>
    <t>Midwest</t>
  </si>
  <si>
    <t>South</t>
  </si>
  <si>
    <t>West</t>
  </si>
  <si>
    <t>South is the top region by revenue.</t>
  </si>
  <si>
    <t>Barbara Thomas</t>
  </si>
  <si>
    <t>James Moore</t>
  </si>
  <si>
    <t>Patricia Wilson</t>
  </si>
  <si>
    <t>Customer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</si>
</sst>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5" formatCode="m/d/yyyy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/>
    <xf numFmtId="14" fontId="2" fillId="0" borderId="0" xfId="0" applyNumberFormat="1" applyFont="1"/>
    <xf numFmtId="14" fontId="0" fillId="0" borderId="0" xfId="0" applyNumberFormat="1"/>
    <xf numFmtId="165" fontId="0" fillId="0" borderId="0" xfId="0" applyNumberFormat="1"/>
    <xf numFmtId="44" fontId="2" fillId="0" borderId="0" xfId="1" applyFont="1"/>
    <xf numFmtId="44" fontId="0" fillId="0" borderId="0" xfId="1" applyFont="1"/>
    <xf numFmtId="1" fontId="2" fillId="0" borderId="0" xfId="0" applyNumberFormat="1" applyFont="1"/>
    <xf numFmtId="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2" fillId="0" borderId="0" xfId="0" applyFont="1" applyAlignment="1">
      <alignment horizontal="center" vertical="center"/>
    </xf>
  </cellXfs>
  <cellStyles count="2">
    <cellStyle name="Currency" xfId="1" builtinId="4"/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enza santarin" refreshedDate="46121.670738425928" createdVersion="8" refreshedVersion="8" minRefreshableVersion="3" recordCount="95" xr:uid="{EDCD2907-D1AC-47DF-8251-174C43B99548}">
  <cacheSource type="worksheet">
    <worksheetSource ref="M1:W96" sheet="Raw Sales Data"/>
  </cacheSource>
  <cacheFields count="11">
    <cacheField name="CleanName" numFmtId="0">
      <sharedItems count="65">
        <s v="Patricia Taylor"/>
        <s v="Robert Wilson"/>
        <s v="Michael Jackson"/>
        <s v="Michael Thomas"/>
        <s v="Robert Johnson"/>
        <s v="Mary Wilson"/>
        <s v="Michael Taylor"/>
        <s v="Robert Davis"/>
        <s v="Elizabeth Brown"/>
        <s v="Elizabeth Johnson"/>
        <s v="Elizabeth Moore"/>
        <s v="Barbara Davis"/>
        <s v="Barbara Thomas"/>
        <s v="Patricia Johnson"/>
        <s v="Elizabeth Wilson"/>
        <s v="Robert Taylor"/>
        <s v="Michael Moore"/>
        <s v="Patricia Moore"/>
        <s v="Linda Anderson"/>
        <s v="William Anderson"/>
        <s v="Linda Moore"/>
        <s v="James Moore"/>
        <s v="Mary Davis"/>
        <s v="Patricia Jackson"/>
        <s v="Robert Anderson"/>
        <s v="Barbara Taylor"/>
        <s v="Linda Davis"/>
        <s v="James Jackson"/>
        <s v="Barbara Johnson"/>
        <s v="William Taylor"/>
        <s v="Mary Moore"/>
        <s v="John Jackson"/>
        <s v="Linda Wilson"/>
        <s v="Michael Anderson"/>
        <s v="Elizabeth Davis"/>
        <s v="Elizabeth Jackson"/>
        <s v="Mary Taylor"/>
        <s v="Elizabeth Thomas"/>
        <s v="Barbara Smith"/>
        <s v="Robert Brown"/>
        <s v="James Wilson"/>
        <s v="John Wilson"/>
        <s v="William Wilson"/>
        <s v="Patricia Wilson"/>
        <s v="Linda Johnson"/>
        <s v="Linda Brown"/>
        <s v="Robert Moore"/>
        <s v="James Smith"/>
        <s v="John Moore"/>
        <s v="James Anderson"/>
        <s v="Patricia Thomas"/>
        <s v="Barbara Brown"/>
        <s v="Linda Smith"/>
        <s v="John Davis"/>
        <s v="John Anderson"/>
        <s v="Elizabeth Taylor"/>
        <s v="Linda Taylor"/>
        <s v="Barbara Wilson"/>
        <s v="William Thomas"/>
        <s v="Mary Smith"/>
        <s v="John Brown"/>
        <s v="James Davis"/>
        <s v="Linda Thomas"/>
        <s v="Mary Thomas"/>
        <s v="William Jackson"/>
      </sharedItems>
    </cacheField>
    <cacheField name="Region" numFmtId="0">
      <sharedItems count="4">
        <s v="South"/>
        <s v="West"/>
        <s v="Midwest"/>
        <s v="East"/>
      </sharedItems>
    </cacheField>
    <cacheField name="ProperCity" numFmtId="0">
      <sharedItems/>
    </cacheField>
    <cacheField name="ProperState" numFmtId="0">
      <sharedItems/>
    </cacheField>
    <cacheField name="CombinedLocation" numFmtId="0">
      <sharedItems/>
    </cacheField>
    <cacheField name="Product" numFmtId="0">
      <sharedItems count="5">
        <s v="Keyboard"/>
        <s v="Laptop"/>
        <s v="Phone"/>
        <s v="Tablet"/>
        <s v="Monitor"/>
      </sharedItems>
    </cacheField>
    <cacheField name="UnitPrice" numFmtId="44">
      <sharedItems containsSemiMixedTypes="0" containsString="0" containsNumber="1" containsInteger="1" minValue="89" maxValue="899"/>
    </cacheField>
    <cacheField name="Quantity" numFmtId="1">
      <sharedItems containsSemiMixedTypes="0" containsString="0" containsNumber="1" containsInteger="1" minValue="1" maxValue="5"/>
    </cacheField>
    <cacheField name="TotalSales" numFmtId="44">
      <sharedItems containsSemiMixedTypes="0" containsString="0" containsNumber="1" containsInteger="1" minValue="89" maxValue="4495"/>
    </cacheField>
    <cacheField name="OrderDate" numFmtId="165">
      <sharedItems containsSemiMixedTypes="0" containsNonDate="0" containsDate="1" containsString="0" minDate="2024-02-01T00:00:00" maxDate="2024-05-06T00:00:00"/>
    </cacheField>
    <cacheField name="Email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">
  <r>
    <x v="0"/>
    <x v="0"/>
    <s v="Chicago"/>
    <s v="IL"/>
    <s v="Chicago, IL"/>
    <x v="0"/>
    <n v="89"/>
    <n v="5"/>
    <n v="445"/>
    <d v="2024-02-01T00:00:00"/>
    <s v="customer1@company.com"/>
  </r>
  <r>
    <x v="1"/>
    <x v="0"/>
    <s v="San Antonio"/>
    <s v="TX"/>
    <s v="San Antonio, TX"/>
    <x v="1"/>
    <n v="899"/>
    <n v="3"/>
    <n v="2697"/>
    <d v="2024-02-02T00:00:00"/>
    <s v="customer2@company.com"/>
  </r>
  <r>
    <x v="2"/>
    <x v="1"/>
    <s v="Chicago"/>
    <s v="IL"/>
    <s v="Chicago, IL"/>
    <x v="2"/>
    <n v="699"/>
    <n v="2"/>
    <n v="1398"/>
    <d v="2024-02-03T00:00:00"/>
    <s v="customer3@company.com"/>
  </r>
  <r>
    <x v="3"/>
    <x v="1"/>
    <s v="San Diego"/>
    <s v="CA"/>
    <s v="San Diego, CA"/>
    <x v="1"/>
    <n v="899"/>
    <n v="5"/>
    <n v="4495"/>
    <d v="2024-02-04T00:00:00"/>
    <s v="customer4@company.com"/>
  </r>
  <r>
    <x v="4"/>
    <x v="1"/>
    <s v="Houston"/>
    <s v="TX"/>
    <s v="Houston, TX"/>
    <x v="0"/>
    <n v="89"/>
    <n v="5"/>
    <n v="445"/>
    <d v="2024-02-05T00:00:00"/>
    <s v="customer5@company.com"/>
  </r>
  <r>
    <x v="5"/>
    <x v="1"/>
    <s v="Houston"/>
    <s v="TX"/>
    <s v="Houston, TX"/>
    <x v="3"/>
    <n v="499"/>
    <n v="5"/>
    <n v="2495"/>
    <d v="2024-02-06T00:00:00"/>
    <s v="customer6@company.com"/>
  </r>
  <r>
    <x v="6"/>
    <x v="2"/>
    <s v="Los Angeles"/>
    <s v="CA"/>
    <s v="Los Angeles, CA"/>
    <x v="3"/>
    <n v="499"/>
    <n v="3"/>
    <n v="1497"/>
    <d v="2024-02-07T00:00:00"/>
    <s v="customer7@company.com"/>
  </r>
  <r>
    <x v="7"/>
    <x v="1"/>
    <s v="Chicago"/>
    <s v="IL"/>
    <s v="Chicago, IL"/>
    <x v="4"/>
    <n v="299"/>
    <n v="3"/>
    <n v="897"/>
    <d v="2024-02-08T00:00:00"/>
    <s v="customer8@company.com"/>
  </r>
  <r>
    <x v="8"/>
    <x v="0"/>
    <s v="Chicago"/>
    <s v="IL"/>
    <s v="Chicago, IL"/>
    <x v="2"/>
    <n v="699"/>
    <n v="4"/>
    <n v="2796"/>
    <d v="2024-02-09T00:00:00"/>
    <s v="customer9@company.com"/>
  </r>
  <r>
    <x v="9"/>
    <x v="3"/>
    <s v="Los Angeles"/>
    <s v="CA"/>
    <s v="Los Angeles, CA"/>
    <x v="1"/>
    <n v="899"/>
    <n v="5"/>
    <n v="4495"/>
    <d v="2024-02-10T00:00:00"/>
    <s v="customer10@company.com"/>
  </r>
  <r>
    <x v="1"/>
    <x v="3"/>
    <s v="Houston"/>
    <s v="TX"/>
    <s v="Houston, TX"/>
    <x v="1"/>
    <n v="899"/>
    <n v="5"/>
    <n v="4495"/>
    <d v="2024-02-11T00:00:00"/>
    <s v="customer11@company.com"/>
  </r>
  <r>
    <x v="10"/>
    <x v="2"/>
    <s v="Houston"/>
    <s v="TX"/>
    <s v="Houston, TX"/>
    <x v="1"/>
    <n v="899"/>
    <n v="3"/>
    <n v="2697"/>
    <d v="2024-02-12T00:00:00"/>
    <s v="customer12@company.com"/>
  </r>
  <r>
    <x v="11"/>
    <x v="0"/>
    <s v="Chicago"/>
    <s v="IL"/>
    <s v="Chicago, IL"/>
    <x v="3"/>
    <n v="499"/>
    <n v="4"/>
    <n v="1996"/>
    <d v="2024-02-13T00:00:00"/>
    <s v="customer13@company.com"/>
  </r>
  <r>
    <x v="12"/>
    <x v="2"/>
    <s v="Philadelphia"/>
    <s v="PA"/>
    <s v="Philadelphia, PA"/>
    <x v="3"/>
    <n v="499"/>
    <n v="3"/>
    <n v="1497"/>
    <d v="2024-02-14T00:00:00"/>
    <s v="customer14@company.com"/>
  </r>
  <r>
    <x v="13"/>
    <x v="3"/>
    <s v="New York"/>
    <s v="NY"/>
    <s v="New York, NY"/>
    <x v="4"/>
    <n v="299"/>
    <n v="4"/>
    <n v="1196"/>
    <d v="2024-02-15T00:00:00"/>
    <s v="customer15@company.com"/>
  </r>
  <r>
    <x v="14"/>
    <x v="1"/>
    <s v="Phoenix"/>
    <s v="AZ"/>
    <s v="Phoenix, AZ"/>
    <x v="3"/>
    <n v="499"/>
    <n v="4"/>
    <n v="1996"/>
    <d v="2024-02-16T00:00:00"/>
    <s v="customer16@company.com"/>
  </r>
  <r>
    <x v="15"/>
    <x v="0"/>
    <s v="Philadelphia"/>
    <s v="PA"/>
    <s v="Philadelphia, PA"/>
    <x v="3"/>
    <n v="499"/>
    <n v="4"/>
    <n v="1996"/>
    <d v="2024-02-17T00:00:00"/>
    <s v="customer17@company.com"/>
  </r>
  <r>
    <x v="16"/>
    <x v="0"/>
    <s v="San Diego"/>
    <s v="CA"/>
    <s v="San Diego, CA"/>
    <x v="0"/>
    <n v="89"/>
    <n v="4"/>
    <n v="356"/>
    <d v="2024-02-18T00:00:00"/>
    <s v="customer18@company.com"/>
  </r>
  <r>
    <x v="17"/>
    <x v="0"/>
    <s v="Houston"/>
    <s v="TX"/>
    <s v="Houston, TX"/>
    <x v="4"/>
    <n v="299"/>
    <n v="4"/>
    <n v="1196"/>
    <d v="2024-02-19T00:00:00"/>
    <s v="customer19@company.com"/>
  </r>
  <r>
    <x v="18"/>
    <x v="2"/>
    <s v="Houston"/>
    <s v="TX"/>
    <s v="Houston, TX"/>
    <x v="2"/>
    <n v="699"/>
    <n v="2"/>
    <n v="1398"/>
    <d v="2024-02-20T00:00:00"/>
    <s v="customer20@company.com"/>
  </r>
  <r>
    <x v="19"/>
    <x v="3"/>
    <s v="Houston"/>
    <s v="TX"/>
    <s v="Houston, TX"/>
    <x v="0"/>
    <n v="89"/>
    <n v="5"/>
    <n v="445"/>
    <d v="2024-02-21T00:00:00"/>
    <s v="customer22@company.com"/>
  </r>
  <r>
    <x v="3"/>
    <x v="0"/>
    <s v="Houston"/>
    <s v="TX"/>
    <s v="Houston, TX"/>
    <x v="2"/>
    <n v="699"/>
    <n v="2"/>
    <n v="1398"/>
    <d v="2024-02-22T00:00:00"/>
    <s v="customer23@company.com"/>
  </r>
  <r>
    <x v="12"/>
    <x v="2"/>
    <s v="San Diego"/>
    <s v="CA"/>
    <s v="San Diego, CA"/>
    <x v="1"/>
    <n v="899"/>
    <n v="4"/>
    <n v="3596"/>
    <d v="2024-02-23T00:00:00"/>
    <s v="customer24@company.com"/>
  </r>
  <r>
    <x v="20"/>
    <x v="3"/>
    <s v="Los Angeles"/>
    <s v="CA"/>
    <s v="Los Angeles, CA"/>
    <x v="4"/>
    <n v="299"/>
    <n v="3"/>
    <n v="897"/>
    <d v="2024-02-24T00:00:00"/>
    <s v="customer25@company.com"/>
  </r>
  <r>
    <x v="0"/>
    <x v="3"/>
    <s v="Los Angeles"/>
    <s v="CA"/>
    <s v="Los Angeles, CA"/>
    <x v="0"/>
    <n v="89"/>
    <n v="3"/>
    <n v="267"/>
    <d v="2024-02-25T00:00:00"/>
    <s v="customer26@company.com"/>
  </r>
  <r>
    <x v="21"/>
    <x v="0"/>
    <s v="San Diego"/>
    <s v="CA"/>
    <s v="San Diego, CA"/>
    <x v="1"/>
    <n v="899"/>
    <n v="5"/>
    <n v="4495"/>
    <d v="2024-02-26T00:00:00"/>
    <s v="customer27@company.com"/>
  </r>
  <r>
    <x v="22"/>
    <x v="0"/>
    <s v="Los Angeles"/>
    <s v="CA"/>
    <s v="Los Angeles, CA"/>
    <x v="3"/>
    <n v="499"/>
    <n v="2"/>
    <n v="998"/>
    <d v="2024-02-27T00:00:00"/>
    <s v="customer28@company.com"/>
  </r>
  <r>
    <x v="23"/>
    <x v="2"/>
    <s v="Phoenix"/>
    <s v="AZ"/>
    <s v="Phoenix, AZ"/>
    <x v="2"/>
    <n v="699"/>
    <n v="1"/>
    <n v="699"/>
    <d v="2024-02-28T00:00:00"/>
    <s v="customer29@company.com"/>
  </r>
  <r>
    <x v="3"/>
    <x v="0"/>
    <s v="Philadelphia"/>
    <s v="PA"/>
    <s v="Philadelphia, PA"/>
    <x v="1"/>
    <n v="899"/>
    <n v="2"/>
    <n v="1798"/>
    <d v="2024-02-29T00:00:00"/>
    <s v="customer30@company.com"/>
  </r>
  <r>
    <x v="24"/>
    <x v="3"/>
    <s v="Chicago"/>
    <s v="IL"/>
    <s v="Chicago, IL"/>
    <x v="1"/>
    <n v="899"/>
    <n v="5"/>
    <n v="4495"/>
    <d v="2024-03-01T00:00:00"/>
    <s v="customer31@company.com"/>
  </r>
  <r>
    <x v="25"/>
    <x v="3"/>
    <s v="San Antonio"/>
    <s v="TX"/>
    <s v="San Antonio, TX"/>
    <x v="4"/>
    <n v="299"/>
    <n v="3"/>
    <n v="897"/>
    <d v="2024-03-02T00:00:00"/>
    <s v="customer32@company.com"/>
  </r>
  <r>
    <x v="26"/>
    <x v="1"/>
    <s v="Phoenix"/>
    <s v="AZ"/>
    <s v="Phoenix, AZ"/>
    <x v="1"/>
    <n v="899"/>
    <n v="5"/>
    <n v="4495"/>
    <d v="2024-03-03T00:00:00"/>
    <s v="customer33@company.com"/>
  </r>
  <r>
    <x v="27"/>
    <x v="3"/>
    <s v="Los Angeles"/>
    <s v="CA"/>
    <s v="Los Angeles, CA"/>
    <x v="2"/>
    <n v="699"/>
    <n v="1"/>
    <n v="699"/>
    <d v="2024-03-04T00:00:00"/>
    <s v="customer34@company.com"/>
  </r>
  <r>
    <x v="22"/>
    <x v="3"/>
    <s v="San Diego"/>
    <s v="CA"/>
    <s v="San Diego, CA"/>
    <x v="0"/>
    <n v="89"/>
    <n v="2"/>
    <n v="178"/>
    <d v="2024-03-05T00:00:00"/>
    <s v="customer35@company.com"/>
  </r>
  <r>
    <x v="28"/>
    <x v="0"/>
    <s v="Chicago"/>
    <s v="IL"/>
    <s v="Chicago, IL"/>
    <x v="2"/>
    <n v="699"/>
    <n v="5"/>
    <n v="3495"/>
    <d v="2024-03-06T00:00:00"/>
    <s v="customer36@company.com"/>
  </r>
  <r>
    <x v="29"/>
    <x v="3"/>
    <s v="Philadelphia"/>
    <s v="PA"/>
    <s v="Philadelphia, PA"/>
    <x v="0"/>
    <n v="89"/>
    <n v="3"/>
    <n v="267"/>
    <d v="2024-03-07T00:00:00"/>
    <s v="customer37@company.com"/>
  </r>
  <r>
    <x v="30"/>
    <x v="3"/>
    <s v="Phoenix"/>
    <s v="AZ"/>
    <s v="Phoenix, AZ"/>
    <x v="2"/>
    <n v="699"/>
    <n v="3"/>
    <n v="2097"/>
    <d v="2024-03-08T00:00:00"/>
    <s v="customer38@company.com"/>
  </r>
  <r>
    <x v="31"/>
    <x v="0"/>
    <s v="Phoenix"/>
    <s v="AZ"/>
    <s v="Phoenix, AZ"/>
    <x v="1"/>
    <n v="899"/>
    <n v="1"/>
    <n v="899"/>
    <d v="2024-03-09T00:00:00"/>
    <s v="customer39@company.com"/>
  </r>
  <r>
    <x v="16"/>
    <x v="3"/>
    <s v="Houston"/>
    <s v="TX"/>
    <s v="Houston, TX"/>
    <x v="0"/>
    <n v="89"/>
    <n v="3"/>
    <n v="267"/>
    <d v="2024-03-10T00:00:00"/>
    <s v="customer40@company.com"/>
  </r>
  <r>
    <x v="32"/>
    <x v="1"/>
    <s v="Houston"/>
    <s v="TX"/>
    <s v="Houston, TX"/>
    <x v="0"/>
    <n v="89"/>
    <n v="2"/>
    <n v="178"/>
    <d v="2024-03-11T00:00:00"/>
    <s v="customer41@company.com"/>
  </r>
  <r>
    <x v="33"/>
    <x v="0"/>
    <s v="Los Angeles"/>
    <s v="CA"/>
    <s v="Los Angeles, CA"/>
    <x v="0"/>
    <n v="89"/>
    <n v="1"/>
    <n v="89"/>
    <d v="2024-03-12T00:00:00"/>
    <s v="customer42@company.com"/>
  </r>
  <r>
    <x v="34"/>
    <x v="3"/>
    <s v="Chicago"/>
    <s v="IL"/>
    <s v="Chicago, IL"/>
    <x v="1"/>
    <n v="899"/>
    <n v="5"/>
    <n v="4495"/>
    <d v="2024-03-13T00:00:00"/>
    <s v="customer43@company.com"/>
  </r>
  <r>
    <x v="21"/>
    <x v="0"/>
    <s v="San Antonio"/>
    <s v="TX"/>
    <s v="San Antonio, TX"/>
    <x v="3"/>
    <n v="499"/>
    <n v="4"/>
    <n v="1996"/>
    <d v="2024-03-14T00:00:00"/>
    <s v="customer44@company.com"/>
  </r>
  <r>
    <x v="35"/>
    <x v="1"/>
    <s v="Phoenix"/>
    <s v="AZ"/>
    <s v="Phoenix, AZ"/>
    <x v="0"/>
    <n v="89"/>
    <n v="3"/>
    <n v="267"/>
    <d v="2024-03-15T00:00:00"/>
    <s v="customer45@company.com"/>
  </r>
  <r>
    <x v="36"/>
    <x v="3"/>
    <s v="Phoenix"/>
    <s v="AZ"/>
    <s v="Phoenix, AZ"/>
    <x v="3"/>
    <n v="499"/>
    <n v="4"/>
    <n v="1996"/>
    <d v="2024-03-16T00:00:00"/>
    <s v="customer47@company.com"/>
  </r>
  <r>
    <x v="37"/>
    <x v="2"/>
    <s v="Philadelphia"/>
    <s v="PA"/>
    <s v="Philadelphia, PA"/>
    <x v="0"/>
    <n v="89"/>
    <n v="1"/>
    <n v="89"/>
    <d v="2024-03-17T00:00:00"/>
    <s v="customer48@company.com"/>
  </r>
  <r>
    <x v="38"/>
    <x v="3"/>
    <s v="San Diego"/>
    <s v="CA"/>
    <s v="San Diego, CA"/>
    <x v="4"/>
    <n v="299"/>
    <n v="4"/>
    <n v="1196"/>
    <d v="2024-03-18T00:00:00"/>
    <s v="customer49@company.com"/>
  </r>
  <r>
    <x v="26"/>
    <x v="2"/>
    <s v="Houston"/>
    <s v="TX"/>
    <s v="Houston, TX"/>
    <x v="0"/>
    <n v="89"/>
    <n v="4"/>
    <n v="356"/>
    <d v="2024-03-19T00:00:00"/>
    <s v="customer50@company.com"/>
  </r>
  <r>
    <x v="39"/>
    <x v="3"/>
    <s v="San Diego"/>
    <s v="CA"/>
    <s v="San Diego, CA"/>
    <x v="4"/>
    <n v="299"/>
    <n v="2"/>
    <n v="598"/>
    <d v="2024-03-20T00:00:00"/>
    <s v="customer51@company.com"/>
  </r>
  <r>
    <x v="40"/>
    <x v="0"/>
    <s v="Los Angeles"/>
    <s v="CA"/>
    <s v="Los Angeles, CA"/>
    <x v="0"/>
    <n v="89"/>
    <n v="5"/>
    <n v="445"/>
    <d v="2024-03-21T00:00:00"/>
    <s v="customer52@company.com"/>
  </r>
  <r>
    <x v="41"/>
    <x v="3"/>
    <s v="Chicago"/>
    <s v="IL"/>
    <s v="Chicago, IL"/>
    <x v="2"/>
    <n v="699"/>
    <n v="2"/>
    <n v="1398"/>
    <d v="2024-03-22T00:00:00"/>
    <s v="customer53@company.com"/>
  </r>
  <r>
    <x v="42"/>
    <x v="0"/>
    <s v="San Diego"/>
    <s v="CA"/>
    <s v="San Diego, CA"/>
    <x v="1"/>
    <n v="899"/>
    <n v="4"/>
    <n v="3596"/>
    <d v="2024-03-23T00:00:00"/>
    <s v="customer54@company.com"/>
  </r>
  <r>
    <x v="43"/>
    <x v="2"/>
    <s v="San Antonio"/>
    <s v="TX"/>
    <s v="San Antonio, TX"/>
    <x v="2"/>
    <n v="699"/>
    <n v="5"/>
    <n v="3495"/>
    <d v="2024-03-24T00:00:00"/>
    <s v="customer55@company.com"/>
  </r>
  <r>
    <x v="44"/>
    <x v="2"/>
    <s v="Philadelphia"/>
    <s v="PA"/>
    <s v="Philadelphia, PA"/>
    <x v="0"/>
    <n v="89"/>
    <n v="3"/>
    <n v="267"/>
    <d v="2024-03-25T00:00:00"/>
    <s v="customer56@company.com"/>
  </r>
  <r>
    <x v="41"/>
    <x v="0"/>
    <s v="Philadelphia"/>
    <s v="PA"/>
    <s v="Philadelphia, PA"/>
    <x v="0"/>
    <n v="89"/>
    <n v="3"/>
    <n v="267"/>
    <d v="2024-03-26T00:00:00"/>
    <s v="customer57@company.com"/>
  </r>
  <r>
    <x v="45"/>
    <x v="1"/>
    <s v="Houston"/>
    <s v="TX"/>
    <s v="Houston, TX"/>
    <x v="3"/>
    <n v="499"/>
    <n v="3"/>
    <n v="1497"/>
    <d v="2024-03-27T00:00:00"/>
    <s v="customer58@company.com"/>
  </r>
  <r>
    <x v="16"/>
    <x v="0"/>
    <s v="San Diego"/>
    <s v="CA"/>
    <s v="San Diego, CA"/>
    <x v="3"/>
    <n v="499"/>
    <n v="1"/>
    <n v="499"/>
    <d v="2024-03-28T00:00:00"/>
    <s v="customer59@company.com"/>
  </r>
  <r>
    <x v="12"/>
    <x v="2"/>
    <s v="Phoenix"/>
    <s v="AZ"/>
    <s v="Phoenix, AZ"/>
    <x v="0"/>
    <n v="89"/>
    <n v="2"/>
    <n v="178"/>
    <d v="2024-03-29T00:00:00"/>
    <s v="customer61@company.com"/>
  </r>
  <r>
    <x v="46"/>
    <x v="3"/>
    <s v="Houston"/>
    <s v="TX"/>
    <s v="Houston, TX"/>
    <x v="4"/>
    <n v="299"/>
    <n v="5"/>
    <n v="1495"/>
    <d v="2024-03-30T00:00:00"/>
    <s v="customer62@company.com"/>
  </r>
  <r>
    <x v="47"/>
    <x v="3"/>
    <s v="Philadelphia"/>
    <s v="PA"/>
    <s v="Philadelphia, PA"/>
    <x v="2"/>
    <n v="699"/>
    <n v="5"/>
    <n v="3495"/>
    <d v="2024-03-31T00:00:00"/>
    <s v="customer63@company.com"/>
  </r>
  <r>
    <x v="48"/>
    <x v="3"/>
    <s v="Houston"/>
    <s v="TX"/>
    <s v="Houston, TX"/>
    <x v="3"/>
    <n v="499"/>
    <n v="5"/>
    <n v="2495"/>
    <d v="2024-04-01T00:00:00"/>
    <s v="customer64@company.com"/>
  </r>
  <r>
    <x v="6"/>
    <x v="1"/>
    <s v="Los Angeles"/>
    <s v="CA"/>
    <s v="Los Angeles, CA"/>
    <x v="2"/>
    <n v="699"/>
    <n v="5"/>
    <n v="3495"/>
    <d v="2024-04-02T00:00:00"/>
    <s v="customer65@company.com"/>
  </r>
  <r>
    <x v="49"/>
    <x v="0"/>
    <s v="Phoenix"/>
    <s v="AZ"/>
    <s v="Phoenix, AZ"/>
    <x v="4"/>
    <n v="299"/>
    <n v="5"/>
    <n v="1495"/>
    <d v="2024-04-03T00:00:00"/>
    <s v="customer66@company.com"/>
  </r>
  <r>
    <x v="13"/>
    <x v="1"/>
    <s v="Chicago"/>
    <s v="IL"/>
    <s v="Chicago, IL"/>
    <x v="4"/>
    <n v="299"/>
    <n v="1"/>
    <n v="299"/>
    <d v="2024-04-04T00:00:00"/>
    <s v="customer67@company.com"/>
  </r>
  <r>
    <x v="50"/>
    <x v="2"/>
    <s v="San Diego"/>
    <s v="CA"/>
    <s v="San Diego, CA"/>
    <x v="0"/>
    <n v="89"/>
    <n v="2"/>
    <n v="178"/>
    <d v="2024-04-05T00:00:00"/>
    <s v="customer68@company.com"/>
  </r>
  <r>
    <x v="51"/>
    <x v="1"/>
    <s v="Philadelphia"/>
    <s v="PA"/>
    <s v="Philadelphia, PA"/>
    <x v="2"/>
    <n v="699"/>
    <n v="1"/>
    <n v="699"/>
    <d v="2024-04-06T00:00:00"/>
    <s v="customer69@company.com"/>
  </r>
  <r>
    <x v="52"/>
    <x v="2"/>
    <s v="New York"/>
    <s v="NY"/>
    <s v="New York, NY"/>
    <x v="0"/>
    <n v="89"/>
    <n v="4"/>
    <n v="356"/>
    <d v="2024-04-07T00:00:00"/>
    <s v="customer70@company.com"/>
  </r>
  <r>
    <x v="48"/>
    <x v="1"/>
    <s v="New York"/>
    <s v="NY"/>
    <s v="New York, NY"/>
    <x v="2"/>
    <n v="699"/>
    <n v="3"/>
    <n v="2097"/>
    <d v="2024-04-08T00:00:00"/>
    <s v="customer71@company.com"/>
  </r>
  <r>
    <x v="53"/>
    <x v="0"/>
    <s v="Los Angeles"/>
    <s v="CA"/>
    <s v="Los Angeles, CA"/>
    <x v="2"/>
    <n v="699"/>
    <n v="2"/>
    <n v="1398"/>
    <d v="2024-04-09T00:00:00"/>
    <s v="customer72@company.com"/>
  </r>
  <r>
    <x v="54"/>
    <x v="0"/>
    <s v="San Antonio"/>
    <s v="TX"/>
    <s v="San Antonio, TX"/>
    <x v="4"/>
    <n v="299"/>
    <n v="5"/>
    <n v="1495"/>
    <d v="2024-04-10T00:00:00"/>
    <s v="customer73@company.com"/>
  </r>
  <r>
    <x v="35"/>
    <x v="1"/>
    <s v="Houston"/>
    <s v="TX"/>
    <s v="Houston, TX"/>
    <x v="1"/>
    <n v="899"/>
    <n v="2"/>
    <n v="1798"/>
    <d v="2024-04-11T00:00:00"/>
    <s v="customer74@company.com"/>
  </r>
  <r>
    <x v="55"/>
    <x v="1"/>
    <s v="New York"/>
    <s v="NY"/>
    <s v="New York, NY"/>
    <x v="1"/>
    <n v="899"/>
    <n v="5"/>
    <n v="4495"/>
    <d v="2024-04-12T00:00:00"/>
    <s v="customer75@company.com"/>
  </r>
  <r>
    <x v="56"/>
    <x v="3"/>
    <s v="Houston"/>
    <s v="TX"/>
    <s v="Houston, TX"/>
    <x v="3"/>
    <n v="499"/>
    <n v="3"/>
    <n v="1497"/>
    <d v="2024-04-13T00:00:00"/>
    <s v="customer76@company.com"/>
  </r>
  <r>
    <x v="53"/>
    <x v="0"/>
    <s v="San Diego"/>
    <s v="CA"/>
    <s v="San Diego, CA"/>
    <x v="0"/>
    <n v="89"/>
    <n v="5"/>
    <n v="445"/>
    <d v="2024-04-14T00:00:00"/>
    <s v="customer77@company.com"/>
  </r>
  <r>
    <x v="35"/>
    <x v="2"/>
    <s v="San Diego"/>
    <s v="CA"/>
    <s v="San Diego, CA"/>
    <x v="4"/>
    <n v="299"/>
    <n v="5"/>
    <n v="1495"/>
    <d v="2024-04-15T00:00:00"/>
    <s v="customer78@company.com"/>
  </r>
  <r>
    <x v="57"/>
    <x v="1"/>
    <s v="San Antonio"/>
    <s v="TX"/>
    <s v="San Antonio, TX"/>
    <x v="4"/>
    <n v="299"/>
    <n v="2"/>
    <n v="598"/>
    <d v="2024-04-16T00:00:00"/>
    <s v="customer79@company.com"/>
  </r>
  <r>
    <x v="58"/>
    <x v="2"/>
    <s v="Chicago"/>
    <s v="IL"/>
    <s v="Chicago, IL"/>
    <x v="1"/>
    <n v="899"/>
    <n v="4"/>
    <n v="3596"/>
    <d v="2024-04-17T00:00:00"/>
    <s v="customer80@company.com"/>
  </r>
  <r>
    <x v="12"/>
    <x v="1"/>
    <s v="San Antonio"/>
    <s v="TX"/>
    <s v="San Antonio, TX"/>
    <x v="0"/>
    <n v="89"/>
    <n v="2"/>
    <n v="178"/>
    <d v="2024-04-18T00:00:00"/>
    <s v="customer82@company.com"/>
  </r>
  <r>
    <x v="16"/>
    <x v="0"/>
    <s v="San Antonio"/>
    <s v="TX"/>
    <s v="San Antonio, TX"/>
    <x v="3"/>
    <n v="499"/>
    <n v="3"/>
    <n v="1497"/>
    <d v="2024-04-19T00:00:00"/>
    <s v="customer83@company.com"/>
  </r>
  <r>
    <x v="32"/>
    <x v="3"/>
    <s v="San Diego"/>
    <s v="CA"/>
    <s v="San Diego, CA"/>
    <x v="3"/>
    <n v="499"/>
    <n v="4"/>
    <n v="1996"/>
    <d v="2024-04-20T00:00:00"/>
    <s v="customer84@company.com"/>
  </r>
  <r>
    <x v="52"/>
    <x v="2"/>
    <s v="Los Angeles"/>
    <s v="CA"/>
    <s v="Los Angeles, CA"/>
    <x v="3"/>
    <n v="499"/>
    <n v="3"/>
    <n v="1497"/>
    <d v="2024-04-21T00:00:00"/>
    <s v="customer85@company.com"/>
  </r>
  <r>
    <x v="10"/>
    <x v="0"/>
    <s v="Philadelphia"/>
    <s v="PA"/>
    <s v="Philadelphia, PA"/>
    <x v="1"/>
    <n v="899"/>
    <n v="1"/>
    <n v="899"/>
    <d v="2024-04-22T00:00:00"/>
    <s v="customer86@company.com"/>
  </r>
  <r>
    <x v="57"/>
    <x v="1"/>
    <s v="Phoenix"/>
    <s v="AZ"/>
    <s v="Phoenix, AZ"/>
    <x v="1"/>
    <n v="899"/>
    <n v="4"/>
    <n v="3596"/>
    <d v="2024-04-23T00:00:00"/>
    <s v="customer87@company.com"/>
  </r>
  <r>
    <x v="20"/>
    <x v="1"/>
    <s v="Houston"/>
    <s v="TX"/>
    <s v="Houston, TX"/>
    <x v="1"/>
    <n v="899"/>
    <n v="5"/>
    <n v="4495"/>
    <d v="2024-04-24T00:00:00"/>
    <s v="customer88@company.com"/>
  </r>
  <r>
    <x v="59"/>
    <x v="2"/>
    <s v="Los Angeles"/>
    <s v="CA"/>
    <s v="Los Angeles, CA"/>
    <x v="3"/>
    <n v="499"/>
    <n v="1"/>
    <n v="499"/>
    <d v="2024-04-25T00:00:00"/>
    <s v="customer89@company.com"/>
  </r>
  <r>
    <x v="60"/>
    <x v="2"/>
    <s v="Chicago"/>
    <s v="IL"/>
    <s v="Chicago, IL"/>
    <x v="2"/>
    <n v="699"/>
    <n v="4"/>
    <n v="2796"/>
    <d v="2024-04-26T00:00:00"/>
    <s v="customer90@company.com"/>
  </r>
  <r>
    <x v="61"/>
    <x v="1"/>
    <s v="Houston"/>
    <s v="TX"/>
    <s v="Houston, TX"/>
    <x v="1"/>
    <n v="899"/>
    <n v="1"/>
    <n v="899"/>
    <d v="2024-04-27T00:00:00"/>
    <s v="customer91@company.com"/>
  </r>
  <r>
    <x v="62"/>
    <x v="0"/>
    <s v="Philadelphia"/>
    <s v="PA"/>
    <s v="Philadelphia, PA"/>
    <x v="1"/>
    <n v="899"/>
    <n v="5"/>
    <n v="4495"/>
    <d v="2024-04-28T00:00:00"/>
    <s v="customer92@company.com"/>
  </r>
  <r>
    <x v="43"/>
    <x v="0"/>
    <s v="Chicago"/>
    <s v="IL"/>
    <s v="Chicago, IL"/>
    <x v="1"/>
    <n v="899"/>
    <n v="3"/>
    <n v="2697"/>
    <d v="2024-04-29T00:00:00"/>
    <s v="customer93@company.com"/>
  </r>
  <r>
    <x v="3"/>
    <x v="1"/>
    <s v="New York"/>
    <s v="NY"/>
    <s v="New York, NY"/>
    <x v="2"/>
    <n v="699"/>
    <n v="1"/>
    <n v="699"/>
    <d v="2024-04-30T00:00:00"/>
    <s v="customer94@company.com"/>
  </r>
  <r>
    <x v="48"/>
    <x v="2"/>
    <s v="Phoenix"/>
    <s v="AZ"/>
    <s v="Phoenix, AZ"/>
    <x v="0"/>
    <n v="89"/>
    <n v="4"/>
    <n v="356"/>
    <d v="2024-05-01T00:00:00"/>
    <s v="customer96@company.com"/>
  </r>
  <r>
    <x v="63"/>
    <x v="2"/>
    <s v="New York"/>
    <s v="NY"/>
    <s v="New York, NY"/>
    <x v="4"/>
    <n v="299"/>
    <n v="3"/>
    <n v="897"/>
    <d v="2024-05-02T00:00:00"/>
    <s v="customer97@company.com"/>
  </r>
  <r>
    <x v="64"/>
    <x v="1"/>
    <s v="San Antonio"/>
    <s v="TX"/>
    <s v="San Antonio, TX"/>
    <x v="2"/>
    <n v="699"/>
    <n v="2"/>
    <n v="1398"/>
    <d v="2024-05-03T00:00:00"/>
    <s v="customer98@company.com"/>
  </r>
  <r>
    <x v="46"/>
    <x v="1"/>
    <s v="Chicago"/>
    <s v="IL"/>
    <s v="Chicago, IL"/>
    <x v="3"/>
    <n v="499"/>
    <n v="5"/>
    <n v="2495"/>
    <d v="2024-05-04T00:00:00"/>
    <s v="customer99@company.com"/>
  </r>
  <r>
    <x v="13"/>
    <x v="0"/>
    <s v="Los Angeles"/>
    <s v="CA"/>
    <s v="Los Angeles, CA"/>
    <x v="4"/>
    <n v="299"/>
    <n v="1"/>
    <n v="299"/>
    <d v="2024-05-05T00:00:00"/>
    <s v="customer100@company.com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C0E926F-573C-4FBC-BCE7-CC4E35CA9222}" name="PivotTable4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RODUCTS">
  <location ref="A3:B9" firstHeaderRow="1" firstDataRow="1" firstDataCol="1"/>
  <pivotFields count="11">
    <pivotField showAll="0"/>
    <pivotField showAll="0"/>
    <pivotField showAll="0"/>
    <pivotField showAll="0"/>
    <pivotField showAll="0"/>
    <pivotField axis="axisRow" showAll="0">
      <items count="6">
        <item x="0"/>
        <item x="1"/>
        <item x="4"/>
        <item x="2"/>
        <item x="3"/>
        <item t="default"/>
      </items>
    </pivotField>
    <pivotField numFmtId="44" showAll="0"/>
    <pivotField numFmtId="1" showAll="0"/>
    <pivotField dataField="1" numFmtId="44" showAll="0"/>
    <pivotField numFmtId="165"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Sales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EA8607-2ED2-4ABD-B1CB-0CF49318FB6B}" name="PivotTable5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Region">
  <location ref="A3:B8" firstHeaderRow="1" firstDataRow="1" firstDataCol="1"/>
  <pivotFields count="11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numFmtId="44" showAll="0"/>
    <pivotField numFmtId="1" showAll="0"/>
    <pivotField dataField="1" numFmtId="44" showAll="0"/>
    <pivotField numFmtId="165" showAll="0"/>
    <pivotField showAll="0"/>
  </pivotFields>
  <rowFields count="1">
    <field x="1"/>
  </rowFields>
  <rowItems count="5">
    <i>
      <x v="2"/>
    </i>
    <i>
      <x v="3"/>
    </i>
    <i>
      <x/>
    </i>
    <i>
      <x v="1"/>
    </i>
    <i t="grand">
      <x/>
    </i>
  </rowItems>
  <colItems count="1">
    <i/>
  </colItems>
  <dataFields count="1">
    <dataField name="Sum of TotalSales" fld="8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804BE2-7D98-4E24-BD03-77E3E769A1E0}" name="PivotTable6" cacheId="1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ustomer Name">
  <location ref="A3:B9" firstHeaderRow="1" firstDataRow="1" firstDataCol="1"/>
  <pivotFields count="11">
    <pivotField axis="axisRow" showAll="0" measureFilter="1" sortType="descending">
      <items count="66">
        <item x="51"/>
        <item x="11"/>
        <item x="28"/>
        <item x="38"/>
        <item x="25"/>
        <item x="12"/>
        <item x="57"/>
        <item x="8"/>
        <item x="34"/>
        <item x="35"/>
        <item x="9"/>
        <item x="10"/>
        <item x="55"/>
        <item x="37"/>
        <item x="14"/>
        <item x="49"/>
        <item x="61"/>
        <item x="27"/>
        <item x="21"/>
        <item x="47"/>
        <item x="40"/>
        <item x="54"/>
        <item x="60"/>
        <item x="53"/>
        <item x="31"/>
        <item x="48"/>
        <item x="41"/>
        <item x="18"/>
        <item x="45"/>
        <item x="26"/>
        <item x="44"/>
        <item x="20"/>
        <item x="52"/>
        <item x="56"/>
        <item x="62"/>
        <item x="32"/>
        <item x="22"/>
        <item x="30"/>
        <item x="59"/>
        <item x="36"/>
        <item x="63"/>
        <item x="5"/>
        <item x="33"/>
        <item x="2"/>
        <item x="16"/>
        <item x="6"/>
        <item x="3"/>
        <item x="23"/>
        <item x="13"/>
        <item x="17"/>
        <item x="0"/>
        <item x="50"/>
        <item x="43"/>
        <item x="24"/>
        <item x="39"/>
        <item x="7"/>
        <item x="4"/>
        <item x="46"/>
        <item x="15"/>
        <item x="1"/>
        <item x="19"/>
        <item x="64"/>
        <item x="29"/>
        <item x="58"/>
        <item x="4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numFmtId="44" showAll="0"/>
    <pivotField numFmtId="1" showAll="0"/>
    <pivotField dataField="1" numFmtId="44" showAll="0"/>
    <pivotField numFmtId="165" showAll="0"/>
    <pivotField showAll="0"/>
  </pivotFields>
  <rowFields count="1">
    <field x="0"/>
  </rowFields>
  <rowItems count="6">
    <i>
      <x v="46"/>
    </i>
    <i>
      <x v="59"/>
    </i>
    <i>
      <x v="18"/>
    </i>
    <i>
      <x v="52"/>
    </i>
    <i>
      <x v="5"/>
    </i>
    <i t="grand">
      <x/>
    </i>
  </rowItems>
  <colItems count="1">
    <i/>
  </colItems>
  <dataFields count="1">
    <dataField name="Sum of TotalSales" fld="8" baseField="0" baseItem="0" numFmtId="44"/>
  </dataField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topLeftCell="K1" workbookViewId="0">
      <selection activeCell="L24" sqref="L24"/>
    </sheetView>
  </sheetViews>
  <sheetFormatPr defaultRowHeight="14.5" x14ac:dyDescent="0.35"/>
  <cols>
    <col min="1" max="1" width="7.54296875" bestFit="1" customWidth="1"/>
    <col min="2" max="2" width="18.81640625" bestFit="1" customWidth="1"/>
    <col min="3" max="4" width="11.08984375" bestFit="1" customWidth="1"/>
    <col min="5" max="5" width="5" bestFit="1" customWidth="1"/>
    <col min="6" max="6" width="11.6328125" bestFit="1" customWidth="1"/>
    <col min="7" max="7" width="8.26953125" bestFit="1" customWidth="1"/>
    <col min="8" max="8" width="8" bestFit="1" customWidth="1"/>
    <col min="9" max="9" width="9.1796875" bestFit="1" customWidth="1"/>
    <col min="10" max="10" width="9.6328125" style="3" bestFit="1" customWidth="1"/>
    <col min="11" max="11" width="26.453125" bestFit="1" customWidth="1"/>
    <col min="12" max="12" width="12.6328125" customWidth="1"/>
    <col min="13" max="13" width="17.7265625" bestFit="1" customWidth="1"/>
    <col min="14" max="14" width="8" bestFit="1" customWidth="1"/>
    <col min="15" max="15" width="12.1796875" bestFit="1" customWidth="1"/>
    <col min="16" max="16" width="10.90625" bestFit="1" customWidth="1"/>
    <col min="17" max="17" width="16.54296875" bestFit="1" customWidth="1"/>
    <col min="18" max="18" width="11.6328125" bestFit="1" customWidth="1"/>
    <col min="19" max="19" width="9.7265625" style="6" bestFit="1" customWidth="1"/>
    <col min="20" max="20" width="8" style="8" bestFit="1" customWidth="1"/>
    <col min="21" max="21" width="10.54296875" style="6" bestFit="1" customWidth="1"/>
    <col min="22" max="22" width="9.7265625" style="3" bestFit="1" customWidth="1"/>
    <col min="23" max="23" width="25.54296875" bestFit="1" customWidth="1"/>
  </cols>
  <sheetData>
    <row r="1" spans="1:23" s="1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M1" s="1" t="s">
        <v>194</v>
      </c>
      <c r="N1" s="1" t="s">
        <v>2</v>
      </c>
      <c r="O1" s="1" t="s">
        <v>206</v>
      </c>
      <c r="P1" s="1" t="s">
        <v>200</v>
      </c>
      <c r="Q1" s="1" t="s">
        <v>201</v>
      </c>
      <c r="R1" s="1" t="s">
        <v>5</v>
      </c>
      <c r="S1" s="5" t="s">
        <v>6</v>
      </c>
      <c r="T1" s="7" t="s">
        <v>7</v>
      </c>
      <c r="U1" s="5" t="s">
        <v>8</v>
      </c>
      <c r="V1" s="2" t="s">
        <v>9</v>
      </c>
      <c r="W1" s="1" t="s">
        <v>10</v>
      </c>
    </row>
    <row r="2" spans="1:23" x14ac:dyDescent="0.35">
      <c r="A2">
        <v>2001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89</v>
      </c>
      <c r="H2">
        <v>5</v>
      </c>
      <c r="I2">
        <f>G2*H2</f>
        <v>445</v>
      </c>
      <c r="J2" s="4">
        <v>45323</v>
      </c>
      <c r="K2" t="s">
        <v>16</v>
      </c>
      <c r="M2" t="str">
        <f>PROPER(TRIM(B2))</f>
        <v>Patricia Taylor</v>
      </c>
      <c r="N2" t="str">
        <f>PROPER(TRIM(C2))</f>
        <v>South</v>
      </c>
      <c r="O2" t="str">
        <f>PROPER(TRIM(D2))</f>
        <v>Chicago</v>
      </c>
      <c r="P2" t="str">
        <f>UPPER(TRIM(E2))</f>
        <v>IL</v>
      </c>
      <c r="Q2" t="str">
        <f>_xlfn.CONCAT(O2,", ",P2)</f>
        <v>Chicago, IL</v>
      </c>
      <c r="R2" t="s">
        <v>195</v>
      </c>
      <c r="S2" s="6">
        <v>89</v>
      </c>
      <c r="T2" s="8">
        <v>5</v>
      </c>
      <c r="U2" s="6">
        <f>S2*T2</f>
        <v>445</v>
      </c>
      <c r="V2" s="4">
        <v>45323</v>
      </c>
      <c r="W2" t="str">
        <f>TRIM(K2)</f>
        <v>customer1@company.com</v>
      </c>
    </row>
    <row r="3" spans="1:23" x14ac:dyDescent="0.35">
      <c r="A3">
        <v>2002</v>
      </c>
      <c r="B3" t="s">
        <v>17</v>
      </c>
      <c r="C3" t="s">
        <v>12</v>
      </c>
      <c r="D3" t="s">
        <v>18</v>
      </c>
      <c r="E3" t="s">
        <v>19</v>
      </c>
      <c r="F3" t="s">
        <v>20</v>
      </c>
      <c r="G3">
        <v>899</v>
      </c>
      <c r="H3">
        <v>3</v>
      </c>
      <c r="I3">
        <f>G3*H3</f>
        <v>2697</v>
      </c>
      <c r="J3" s="4">
        <v>45324</v>
      </c>
      <c r="K3" t="s">
        <v>21</v>
      </c>
      <c r="M3" t="str">
        <f>PROPER(TRIM(B3))</f>
        <v>Robert Wilson</v>
      </c>
      <c r="N3" t="str">
        <f t="shared" ref="N3:N66" si="0">PROPER(TRIM(C3))</f>
        <v>South</v>
      </c>
      <c r="O3" t="str">
        <f t="shared" ref="O3:O66" si="1">PROPER(TRIM(D3))</f>
        <v>San Antonio</v>
      </c>
      <c r="P3" t="str">
        <f t="shared" ref="P3:P66" si="2">UPPER(TRIM(E3))</f>
        <v>TX</v>
      </c>
      <c r="Q3" t="str">
        <f t="shared" ref="Q3:Q66" si="3">_xlfn.CONCAT(O3,", ",P3)</f>
        <v>San Antonio, TX</v>
      </c>
      <c r="R3" t="s">
        <v>196</v>
      </c>
      <c r="S3" s="6">
        <v>899</v>
      </c>
      <c r="T3" s="8">
        <v>3</v>
      </c>
      <c r="U3" s="6">
        <f>S3*T3</f>
        <v>2697</v>
      </c>
      <c r="V3" s="4">
        <v>45324</v>
      </c>
      <c r="W3" t="str">
        <f t="shared" ref="W3:W66" si="4">TRIM(K3)</f>
        <v>customer2@company.com</v>
      </c>
    </row>
    <row r="4" spans="1:23" x14ac:dyDescent="0.35">
      <c r="A4">
        <v>2003</v>
      </c>
      <c r="B4" t="s">
        <v>22</v>
      </c>
      <c r="C4" t="s">
        <v>23</v>
      </c>
      <c r="D4" t="s">
        <v>13</v>
      </c>
      <c r="E4" t="s">
        <v>14</v>
      </c>
      <c r="F4" t="s">
        <v>24</v>
      </c>
      <c r="G4">
        <v>699</v>
      </c>
      <c r="H4">
        <v>2</v>
      </c>
      <c r="I4">
        <f>G4*H4</f>
        <v>1398</v>
      </c>
      <c r="J4" s="4">
        <v>45325</v>
      </c>
      <c r="K4" t="s">
        <v>25</v>
      </c>
      <c r="M4" t="str">
        <f>PROPER(TRIM(B4))</f>
        <v>Michael Jackson</v>
      </c>
      <c r="N4" t="str">
        <f t="shared" si="0"/>
        <v>West</v>
      </c>
      <c r="O4" t="str">
        <f t="shared" si="1"/>
        <v>Chicago</v>
      </c>
      <c r="P4" t="str">
        <f t="shared" si="2"/>
        <v>IL</v>
      </c>
      <c r="Q4" t="str">
        <f t="shared" si="3"/>
        <v>Chicago, IL</v>
      </c>
      <c r="R4" t="s">
        <v>197</v>
      </c>
      <c r="S4" s="6">
        <v>699</v>
      </c>
      <c r="T4" s="8">
        <v>2</v>
      </c>
      <c r="U4" s="6">
        <f>S4*T4</f>
        <v>1398</v>
      </c>
      <c r="V4" s="4">
        <v>45325</v>
      </c>
      <c r="W4" t="str">
        <f t="shared" si="4"/>
        <v>customer3@company.com</v>
      </c>
    </row>
    <row r="5" spans="1:23" x14ac:dyDescent="0.35">
      <c r="A5">
        <v>2004</v>
      </c>
      <c r="B5" t="s">
        <v>26</v>
      </c>
      <c r="C5" t="s">
        <v>23</v>
      </c>
      <c r="D5" t="s">
        <v>27</v>
      </c>
      <c r="E5" t="s">
        <v>28</v>
      </c>
      <c r="F5" t="s">
        <v>20</v>
      </c>
      <c r="G5">
        <v>899</v>
      </c>
      <c r="H5">
        <v>5</v>
      </c>
      <c r="I5">
        <f t="shared" ref="I5:I68" si="5">G5*H5</f>
        <v>4495</v>
      </c>
      <c r="J5" s="4">
        <v>45326</v>
      </c>
      <c r="K5" t="s">
        <v>29</v>
      </c>
      <c r="M5" t="str">
        <f>PROPER(TRIM(B5))</f>
        <v>Michael Thomas</v>
      </c>
      <c r="N5" t="str">
        <f t="shared" si="0"/>
        <v>West</v>
      </c>
      <c r="O5" t="str">
        <f t="shared" si="1"/>
        <v>San Diego</v>
      </c>
      <c r="P5" t="str">
        <f t="shared" si="2"/>
        <v>CA</v>
      </c>
      <c r="Q5" t="str">
        <f t="shared" si="3"/>
        <v>San Diego, CA</v>
      </c>
      <c r="R5" t="s">
        <v>196</v>
      </c>
      <c r="S5" s="6">
        <v>899</v>
      </c>
      <c r="T5" s="8">
        <v>5</v>
      </c>
      <c r="U5" s="6">
        <f t="shared" ref="U5:U68" si="6">S5*T5</f>
        <v>4495</v>
      </c>
      <c r="V5" s="4">
        <v>45326</v>
      </c>
      <c r="W5" t="str">
        <f t="shared" si="4"/>
        <v>customer4@company.com</v>
      </c>
    </row>
    <row r="6" spans="1:23" x14ac:dyDescent="0.35">
      <c r="A6">
        <v>2005</v>
      </c>
      <c r="B6" t="s">
        <v>30</v>
      </c>
      <c r="C6" t="s">
        <v>23</v>
      </c>
      <c r="D6" t="s">
        <v>31</v>
      </c>
      <c r="E6" t="s">
        <v>19</v>
      </c>
      <c r="F6" t="s">
        <v>15</v>
      </c>
      <c r="G6">
        <v>89</v>
      </c>
      <c r="H6">
        <v>5</v>
      </c>
      <c r="I6">
        <f t="shared" si="5"/>
        <v>445</v>
      </c>
      <c r="J6" s="4">
        <v>45327</v>
      </c>
      <c r="K6" t="s">
        <v>32</v>
      </c>
      <c r="M6" t="str">
        <f>PROPER(TRIM(B6))</f>
        <v>Robert Johnson</v>
      </c>
      <c r="N6" t="str">
        <f t="shared" si="0"/>
        <v>West</v>
      </c>
      <c r="O6" t="str">
        <f t="shared" si="1"/>
        <v>Houston</v>
      </c>
      <c r="P6" t="str">
        <f t="shared" si="2"/>
        <v>TX</v>
      </c>
      <c r="Q6" t="str">
        <f t="shared" si="3"/>
        <v>Houston, TX</v>
      </c>
      <c r="R6" t="s">
        <v>195</v>
      </c>
      <c r="S6" s="6">
        <v>89</v>
      </c>
      <c r="T6" s="8">
        <v>5</v>
      </c>
      <c r="U6" s="6">
        <f t="shared" si="6"/>
        <v>445</v>
      </c>
      <c r="V6" s="4">
        <v>45327</v>
      </c>
      <c r="W6" t="str">
        <f t="shared" si="4"/>
        <v>customer5@company.com</v>
      </c>
    </row>
    <row r="7" spans="1:23" x14ac:dyDescent="0.35">
      <c r="A7">
        <v>2006</v>
      </c>
      <c r="B7" t="s">
        <v>33</v>
      </c>
      <c r="C7" t="s">
        <v>23</v>
      </c>
      <c r="D7" t="s">
        <v>31</v>
      </c>
      <c r="E7" t="s">
        <v>19</v>
      </c>
      <c r="F7" t="s">
        <v>34</v>
      </c>
      <c r="G7">
        <v>499</v>
      </c>
      <c r="H7">
        <v>5</v>
      </c>
      <c r="I7">
        <f t="shared" si="5"/>
        <v>2495</v>
      </c>
      <c r="J7" s="4">
        <v>45328</v>
      </c>
      <c r="K7" t="s">
        <v>35</v>
      </c>
      <c r="M7" t="str">
        <f>PROPER(TRIM(B7))</f>
        <v>Mary Wilson</v>
      </c>
      <c r="N7" t="str">
        <f t="shared" si="0"/>
        <v>West</v>
      </c>
      <c r="O7" t="str">
        <f t="shared" si="1"/>
        <v>Houston</v>
      </c>
      <c r="P7" t="str">
        <f t="shared" si="2"/>
        <v>TX</v>
      </c>
      <c r="Q7" t="str">
        <f t="shared" si="3"/>
        <v>Houston, TX</v>
      </c>
      <c r="R7" t="s">
        <v>198</v>
      </c>
      <c r="S7" s="6">
        <v>499</v>
      </c>
      <c r="T7" s="8">
        <v>5</v>
      </c>
      <c r="U7" s="6">
        <f t="shared" si="6"/>
        <v>2495</v>
      </c>
      <c r="V7" s="4">
        <v>45328</v>
      </c>
      <c r="W7" t="str">
        <f t="shared" si="4"/>
        <v>customer6@company.com</v>
      </c>
    </row>
    <row r="8" spans="1:23" x14ac:dyDescent="0.35">
      <c r="A8">
        <v>2007</v>
      </c>
      <c r="B8" t="s">
        <v>36</v>
      </c>
      <c r="C8" t="s">
        <v>37</v>
      </c>
      <c r="D8" t="s">
        <v>38</v>
      </c>
      <c r="E8" t="s">
        <v>28</v>
      </c>
      <c r="F8" t="s">
        <v>34</v>
      </c>
      <c r="G8">
        <v>499</v>
      </c>
      <c r="H8">
        <v>3</v>
      </c>
      <c r="I8">
        <f t="shared" si="5"/>
        <v>1497</v>
      </c>
      <c r="J8" s="4">
        <v>45329</v>
      </c>
      <c r="K8" t="s">
        <v>39</v>
      </c>
      <c r="M8" t="str">
        <f>PROPER(TRIM(B8))</f>
        <v>Michael Taylor</v>
      </c>
      <c r="N8" t="str">
        <f t="shared" si="0"/>
        <v>Midwest</v>
      </c>
      <c r="O8" t="str">
        <f t="shared" si="1"/>
        <v>Los Angeles</v>
      </c>
      <c r="P8" t="str">
        <f t="shared" si="2"/>
        <v>CA</v>
      </c>
      <c r="Q8" t="str">
        <f t="shared" si="3"/>
        <v>Los Angeles, CA</v>
      </c>
      <c r="R8" t="s">
        <v>198</v>
      </c>
      <c r="S8" s="6">
        <v>499</v>
      </c>
      <c r="T8" s="8">
        <v>3</v>
      </c>
      <c r="U8" s="6">
        <f t="shared" si="6"/>
        <v>1497</v>
      </c>
      <c r="V8" s="4">
        <v>45329</v>
      </c>
      <c r="W8" t="str">
        <f t="shared" si="4"/>
        <v>customer7@company.com</v>
      </c>
    </row>
    <row r="9" spans="1:23" x14ac:dyDescent="0.35">
      <c r="A9">
        <v>2008</v>
      </c>
      <c r="B9" t="s">
        <v>40</v>
      </c>
      <c r="C9" t="s">
        <v>23</v>
      </c>
      <c r="D9" t="s">
        <v>13</v>
      </c>
      <c r="E9" t="s">
        <v>14</v>
      </c>
      <c r="F9" t="s">
        <v>41</v>
      </c>
      <c r="G9">
        <v>299</v>
      </c>
      <c r="H9">
        <v>3</v>
      </c>
      <c r="I9">
        <f t="shared" si="5"/>
        <v>897</v>
      </c>
      <c r="J9" s="4">
        <v>45330</v>
      </c>
      <c r="K9" t="s">
        <v>42</v>
      </c>
      <c r="M9" t="str">
        <f>PROPER(TRIM(B9))</f>
        <v>Robert Davis</v>
      </c>
      <c r="N9" t="str">
        <f t="shared" si="0"/>
        <v>West</v>
      </c>
      <c r="O9" t="str">
        <f t="shared" si="1"/>
        <v>Chicago</v>
      </c>
      <c r="P9" t="str">
        <f t="shared" si="2"/>
        <v>IL</v>
      </c>
      <c r="Q9" t="str">
        <f t="shared" si="3"/>
        <v>Chicago, IL</v>
      </c>
      <c r="R9" t="s">
        <v>199</v>
      </c>
      <c r="S9" s="6">
        <v>299</v>
      </c>
      <c r="T9" s="8">
        <v>3</v>
      </c>
      <c r="U9" s="6">
        <f t="shared" si="6"/>
        <v>897</v>
      </c>
      <c r="V9" s="4">
        <v>45330</v>
      </c>
      <c r="W9" t="str">
        <f t="shared" si="4"/>
        <v>customer8@company.com</v>
      </c>
    </row>
    <row r="10" spans="1:23" x14ac:dyDescent="0.35">
      <c r="A10">
        <v>2009</v>
      </c>
      <c r="B10" t="s">
        <v>43</v>
      </c>
      <c r="C10" t="s">
        <v>12</v>
      </c>
      <c r="D10" t="s">
        <v>13</v>
      </c>
      <c r="E10" t="s">
        <v>14</v>
      </c>
      <c r="F10" t="s">
        <v>24</v>
      </c>
      <c r="G10">
        <v>699</v>
      </c>
      <c r="H10">
        <v>4</v>
      </c>
      <c r="I10">
        <f t="shared" si="5"/>
        <v>2796</v>
      </c>
      <c r="J10" s="4">
        <v>45331</v>
      </c>
      <c r="K10" t="s">
        <v>44</v>
      </c>
      <c r="M10" t="str">
        <f>PROPER(TRIM(B10))</f>
        <v>Elizabeth Brown</v>
      </c>
      <c r="N10" t="str">
        <f t="shared" si="0"/>
        <v>South</v>
      </c>
      <c r="O10" t="str">
        <f t="shared" si="1"/>
        <v>Chicago</v>
      </c>
      <c r="P10" t="str">
        <f t="shared" si="2"/>
        <v>IL</v>
      </c>
      <c r="Q10" t="str">
        <f t="shared" si="3"/>
        <v>Chicago, IL</v>
      </c>
      <c r="R10" t="s">
        <v>197</v>
      </c>
      <c r="S10" s="6">
        <v>699</v>
      </c>
      <c r="T10" s="8">
        <v>4</v>
      </c>
      <c r="U10" s="6">
        <f t="shared" si="6"/>
        <v>2796</v>
      </c>
      <c r="V10" s="4">
        <v>45331</v>
      </c>
      <c r="W10" t="str">
        <f t="shared" si="4"/>
        <v>customer9@company.com</v>
      </c>
    </row>
    <row r="11" spans="1:23" x14ac:dyDescent="0.35">
      <c r="A11">
        <v>2010</v>
      </c>
      <c r="B11" t="s">
        <v>45</v>
      </c>
      <c r="C11" t="s">
        <v>46</v>
      </c>
      <c r="D11" t="s">
        <v>38</v>
      </c>
      <c r="E11" t="s">
        <v>28</v>
      </c>
      <c r="F11" t="s">
        <v>20</v>
      </c>
      <c r="G11">
        <v>899</v>
      </c>
      <c r="H11">
        <v>5</v>
      </c>
      <c r="I11">
        <f t="shared" si="5"/>
        <v>4495</v>
      </c>
      <c r="J11" s="4">
        <v>45332</v>
      </c>
      <c r="K11" t="s">
        <v>47</v>
      </c>
      <c r="M11" t="str">
        <f>PROPER(TRIM(B11))</f>
        <v>Elizabeth Johnson</v>
      </c>
      <c r="N11" t="str">
        <f t="shared" si="0"/>
        <v>East</v>
      </c>
      <c r="O11" t="str">
        <f t="shared" si="1"/>
        <v>Los Angeles</v>
      </c>
      <c r="P11" t="str">
        <f t="shared" si="2"/>
        <v>CA</v>
      </c>
      <c r="Q11" t="str">
        <f t="shared" si="3"/>
        <v>Los Angeles, CA</v>
      </c>
      <c r="R11" t="s">
        <v>196</v>
      </c>
      <c r="S11" s="6">
        <v>899</v>
      </c>
      <c r="T11" s="8">
        <v>5</v>
      </c>
      <c r="U11" s="6">
        <f t="shared" si="6"/>
        <v>4495</v>
      </c>
      <c r="V11" s="4">
        <v>45332</v>
      </c>
      <c r="W11" t="str">
        <f t="shared" si="4"/>
        <v>customer10@company.com</v>
      </c>
    </row>
    <row r="12" spans="1:23" x14ac:dyDescent="0.35">
      <c r="A12">
        <v>2011</v>
      </c>
      <c r="B12" t="s">
        <v>17</v>
      </c>
      <c r="C12" t="s">
        <v>46</v>
      </c>
      <c r="D12" t="s">
        <v>31</v>
      </c>
      <c r="E12" t="s">
        <v>19</v>
      </c>
      <c r="F12" t="s">
        <v>20</v>
      </c>
      <c r="G12">
        <v>899</v>
      </c>
      <c r="H12">
        <v>5</v>
      </c>
      <c r="I12">
        <f t="shared" si="5"/>
        <v>4495</v>
      </c>
      <c r="J12" s="4">
        <v>45333</v>
      </c>
      <c r="K12" t="s">
        <v>48</v>
      </c>
      <c r="M12" t="str">
        <f>PROPER(TRIM(B12))</f>
        <v>Robert Wilson</v>
      </c>
      <c r="N12" t="str">
        <f t="shared" si="0"/>
        <v>East</v>
      </c>
      <c r="O12" t="str">
        <f t="shared" si="1"/>
        <v>Houston</v>
      </c>
      <c r="P12" t="str">
        <f t="shared" si="2"/>
        <v>TX</v>
      </c>
      <c r="Q12" t="str">
        <f t="shared" si="3"/>
        <v>Houston, TX</v>
      </c>
      <c r="R12" t="s">
        <v>196</v>
      </c>
      <c r="S12" s="6">
        <v>899</v>
      </c>
      <c r="T12" s="8">
        <v>5</v>
      </c>
      <c r="U12" s="6">
        <f t="shared" si="6"/>
        <v>4495</v>
      </c>
      <c r="V12" s="4">
        <v>45333</v>
      </c>
      <c r="W12" t="str">
        <f t="shared" si="4"/>
        <v>customer11@company.com</v>
      </c>
    </row>
    <row r="13" spans="1:23" x14ac:dyDescent="0.35">
      <c r="A13">
        <v>2012</v>
      </c>
      <c r="B13" t="s">
        <v>49</v>
      </c>
      <c r="C13" t="s">
        <v>37</v>
      </c>
      <c r="D13" t="s">
        <v>31</v>
      </c>
      <c r="E13" t="s">
        <v>19</v>
      </c>
      <c r="F13" t="s">
        <v>20</v>
      </c>
      <c r="G13">
        <v>899</v>
      </c>
      <c r="H13">
        <v>3</v>
      </c>
      <c r="I13">
        <f t="shared" si="5"/>
        <v>2697</v>
      </c>
      <c r="J13" s="4">
        <v>45334</v>
      </c>
      <c r="K13" t="s">
        <v>50</v>
      </c>
      <c r="M13" t="str">
        <f>PROPER(TRIM(B13))</f>
        <v>Elizabeth Moore</v>
      </c>
      <c r="N13" t="str">
        <f t="shared" si="0"/>
        <v>Midwest</v>
      </c>
      <c r="O13" t="str">
        <f t="shared" si="1"/>
        <v>Houston</v>
      </c>
      <c r="P13" t="str">
        <f t="shared" si="2"/>
        <v>TX</v>
      </c>
      <c r="Q13" t="str">
        <f t="shared" si="3"/>
        <v>Houston, TX</v>
      </c>
      <c r="R13" t="s">
        <v>196</v>
      </c>
      <c r="S13" s="6">
        <v>899</v>
      </c>
      <c r="T13" s="8">
        <v>3</v>
      </c>
      <c r="U13" s="6">
        <f t="shared" si="6"/>
        <v>2697</v>
      </c>
      <c r="V13" s="4">
        <v>45334</v>
      </c>
      <c r="W13" t="str">
        <f t="shared" si="4"/>
        <v>customer12@company.com</v>
      </c>
    </row>
    <row r="14" spans="1:23" x14ac:dyDescent="0.35">
      <c r="A14">
        <v>2013</v>
      </c>
      <c r="B14" t="s">
        <v>51</v>
      </c>
      <c r="C14" t="s">
        <v>12</v>
      </c>
      <c r="D14" t="s">
        <v>13</v>
      </c>
      <c r="E14" t="s">
        <v>14</v>
      </c>
      <c r="F14" t="s">
        <v>34</v>
      </c>
      <c r="G14">
        <v>499</v>
      </c>
      <c r="H14">
        <v>4</v>
      </c>
      <c r="I14">
        <f t="shared" si="5"/>
        <v>1996</v>
      </c>
      <c r="J14" s="4">
        <v>45335</v>
      </c>
      <c r="K14" t="s">
        <v>52</v>
      </c>
      <c r="M14" t="str">
        <f>PROPER(TRIM(B14))</f>
        <v>Barbara Davis</v>
      </c>
      <c r="N14" t="str">
        <f t="shared" si="0"/>
        <v>South</v>
      </c>
      <c r="O14" t="str">
        <f t="shared" si="1"/>
        <v>Chicago</v>
      </c>
      <c r="P14" t="str">
        <f t="shared" si="2"/>
        <v>IL</v>
      </c>
      <c r="Q14" t="str">
        <f t="shared" si="3"/>
        <v>Chicago, IL</v>
      </c>
      <c r="R14" t="s">
        <v>198</v>
      </c>
      <c r="S14" s="6">
        <v>499</v>
      </c>
      <c r="T14" s="8">
        <v>4</v>
      </c>
      <c r="U14" s="6">
        <f t="shared" si="6"/>
        <v>1996</v>
      </c>
      <c r="V14" s="4">
        <v>45335</v>
      </c>
      <c r="W14" t="str">
        <f t="shared" si="4"/>
        <v>customer13@company.com</v>
      </c>
    </row>
    <row r="15" spans="1:23" x14ac:dyDescent="0.35">
      <c r="A15">
        <v>2014</v>
      </c>
      <c r="B15" t="s">
        <v>53</v>
      </c>
      <c r="C15" t="s">
        <v>37</v>
      </c>
      <c r="D15" t="s">
        <v>54</v>
      </c>
      <c r="E15" t="s">
        <v>55</v>
      </c>
      <c r="F15" t="s">
        <v>34</v>
      </c>
      <c r="G15">
        <v>499</v>
      </c>
      <c r="H15">
        <v>3</v>
      </c>
      <c r="I15">
        <f t="shared" si="5"/>
        <v>1497</v>
      </c>
      <c r="J15" s="4">
        <v>45336</v>
      </c>
      <c r="K15" t="s">
        <v>56</v>
      </c>
      <c r="M15" t="str">
        <f>PROPER(TRIM(B15))</f>
        <v>Barbara Thomas</v>
      </c>
      <c r="N15" t="str">
        <f t="shared" si="0"/>
        <v>Midwest</v>
      </c>
      <c r="O15" t="str">
        <f t="shared" si="1"/>
        <v>Philadelphia</v>
      </c>
      <c r="P15" t="str">
        <f t="shared" si="2"/>
        <v>PA</v>
      </c>
      <c r="Q15" t="str">
        <f t="shared" si="3"/>
        <v>Philadelphia, PA</v>
      </c>
      <c r="R15" t="s">
        <v>198</v>
      </c>
      <c r="S15" s="6">
        <v>499</v>
      </c>
      <c r="T15" s="8">
        <v>3</v>
      </c>
      <c r="U15" s="6">
        <f t="shared" si="6"/>
        <v>1497</v>
      </c>
      <c r="V15" s="4">
        <v>45336</v>
      </c>
      <c r="W15" t="str">
        <f t="shared" si="4"/>
        <v>customer14@company.com</v>
      </c>
    </row>
    <row r="16" spans="1:23" x14ac:dyDescent="0.35">
      <c r="A16">
        <v>2015</v>
      </c>
      <c r="B16" t="s">
        <v>57</v>
      </c>
      <c r="C16" t="s">
        <v>46</v>
      </c>
      <c r="D16" t="s">
        <v>58</v>
      </c>
      <c r="E16" t="s">
        <v>59</v>
      </c>
      <c r="F16" t="s">
        <v>41</v>
      </c>
      <c r="G16">
        <v>299</v>
      </c>
      <c r="H16">
        <v>4</v>
      </c>
      <c r="I16">
        <f t="shared" si="5"/>
        <v>1196</v>
      </c>
      <c r="J16" s="4">
        <v>45337</v>
      </c>
      <c r="K16" t="s">
        <v>60</v>
      </c>
      <c r="M16" t="str">
        <f>PROPER(TRIM(B16))</f>
        <v>Patricia Johnson</v>
      </c>
      <c r="N16" t="str">
        <f t="shared" si="0"/>
        <v>East</v>
      </c>
      <c r="O16" t="str">
        <f t="shared" si="1"/>
        <v>New York</v>
      </c>
      <c r="P16" t="str">
        <f t="shared" si="2"/>
        <v>NY</v>
      </c>
      <c r="Q16" t="str">
        <f t="shared" si="3"/>
        <v>New York, NY</v>
      </c>
      <c r="R16" t="s">
        <v>199</v>
      </c>
      <c r="S16" s="6">
        <v>299</v>
      </c>
      <c r="T16" s="8">
        <v>4</v>
      </c>
      <c r="U16" s="6">
        <f t="shared" si="6"/>
        <v>1196</v>
      </c>
      <c r="V16" s="4">
        <v>45337</v>
      </c>
      <c r="W16" t="str">
        <f t="shared" si="4"/>
        <v>customer15@company.com</v>
      </c>
    </row>
    <row r="17" spans="1:23" x14ac:dyDescent="0.35">
      <c r="A17">
        <v>2016</v>
      </c>
      <c r="B17" t="s">
        <v>61</v>
      </c>
      <c r="C17" t="s">
        <v>23</v>
      </c>
      <c r="D17" t="s">
        <v>62</v>
      </c>
      <c r="E17" t="s">
        <v>63</v>
      </c>
      <c r="F17" t="s">
        <v>34</v>
      </c>
      <c r="G17">
        <v>499</v>
      </c>
      <c r="H17">
        <v>4</v>
      </c>
      <c r="I17">
        <f t="shared" si="5"/>
        <v>1996</v>
      </c>
      <c r="J17" s="4">
        <v>45338</v>
      </c>
      <c r="K17" t="s">
        <v>64</v>
      </c>
      <c r="M17" t="str">
        <f>PROPER(TRIM(B17))</f>
        <v>Elizabeth Wilson</v>
      </c>
      <c r="N17" t="str">
        <f t="shared" si="0"/>
        <v>West</v>
      </c>
      <c r="O17" t="str">
        <f t="shared" si="1"/>
        <v>Phoenix</v>
      </c>
      <c r="P17" t="str">
        <f t="shared" si="2"/>
        <v>AZ</v>
      </c>
      <c r="Q17" t="str">
        <f t="shared" si="3"/>
        <v>Phoenix, AZ</v>
      </c>
      <c r="R17" t="s">
        <v>198</v>
      </c>
      <c r="S17" s="6">
        <v>499</v>
      </c>
      <c r="T17" s="8">
        <v>4</v>
      </c>
      <c r="U17" s="6">
        <f t="shared" si="6"/>
        <v>1996</v>
      </c>
      <c r="V17" s="4">
        <v>45338</v>
      </c>
      <c r="W17" t="str">
        <f t="shared" si="4"/>
        <v>customer16@company.com</v>
      </c>
    </row>
    <row r="18" spans="1:23" x14ac:dyDescent="0.35">
      <c r="A18">
        <v>2017</v>
      </c>
      <c r="B18" t="s">
        <v>65</v>
      </c>
      <c r="C18" t="s">
        <v>12</v>
      </c>
      <c r="D18" t="s">
        <v>54</v>
      </c>
      <c r="E18" t="s">
        <v>55</v>
      </c>
      <c r="F18" t="s">
        <v>34</v>
      </c>
      <c r="G18">
        <v>499</v>
      </c>
      <c r="H18">
        <v>4</v>
      </c>
      <c r="I18">
        <f t="shared" si="5"/>
        <v>1996</v>
      </c>
      <c r="J18" s="4">
        <v>45339</v>
      </c>
      <c r="K18" t="s">
        <v>66</v>
      </c>
      <c r="M18" t="str">
        <f>PROPER(TRIM(B18))</f>
        <v>Robert Taylor</v>
      </c>
      <c r="N18" t="str">
        <f t="shared" si="0"/>
        <v>South</v>
      </c>
      <c r="O18" t="str">
        <f t="shared" si="1"/>
        <v>Philadelphia</v>
      </c>
      <c r="P18" t="str">
        <f t="shared" si="2"/>
        <v>PA</v>
      </c>
      <c r="Q18" t="str">
        <f t="shared" si="3"/>
        <v>Philadelphia, PA</v>
      </c>
      <c r="R18" t="s">
        <v>198</v>
      </c>
      <c r="S18" s="6">
        <v>499</v>
      </c>
      <c r="T18" s="8">
        <v>4</v>
      </c>
      <c r="U18" s="6">
        <f t="shared" si="6"/>
        <v>1996</v>
      </c>
      <c r="V18" s="4">
        <v>45339</v>
      </c>
      <c r="W18" t="str">
        <f t="shared" si="4"/>
        <v>customer17@company.com</v>
      </c>
    </row>
    <row r="19" spans="1:23" x14ac:dyDescent="0.35">
      <c r="A19">
        <v>2018</v>
      </c>
      <c r="B19" t="s">
        <v>67</v>
      </c>
      <c r="C19" t="s">
        <v>12</v>
      </c>
      <c r="D19" t="s">
        <v>27</v>
      </c>
      <c r="E19" t="s">
        <v>28</v>
      </c>
      <c r="F19" t="s">
        <v>15</v>
      </c>
      <c r="G19">
        <v>89</v>
      </c>
      <c r="H19">
        <v>4</v>
      </c>
      <c r="I19">
        <f t="shared" si="5"/>
        <v>356</v>
      </c>
      <c r="J19" s="4">
        <v>45340</v>
      </c>
      <c r="K19" t="s">
        <v>68</v>
      </c>
      <c r="M19" t="str">
        <f>PROPER(TRIM(B19))</f>
        <v>Michael Moore</v>
      </c>
      <c r="N19" t="str">
        <f t="shared" si="0"/>
        <v>South</v>
      </c>
      <c r="O19" t="str">
        <f t="shared" si="1"/>
        <v>San Diego</v>
      </c>
      <c r="P19" t="str">
        <f t="shared" si="2"/>
        <v>CA</v>
      </c>
      <c r="Q19" t="str">
        <f t="shared" si="3"/>
        <v>San Diego, CA</v>
      </c>
      <c r="R19" t="s">
        <v>195</v>
      </c>
      <c r="S19" s="6">
        <v>89</v>
      </c>
      <c r="T19" s="8">
        <v>4</v>
      </c>
      <c r="U19" s="6">
        <f t="shared" si="6"/>
        <v>356</v>
      </c>
      <c r="V19" s="4">
        <v>45340</v>
      </c>
      <c r="W19" t="str">
        <f t="shared" si="4"/>
        <v>customer18@company.com</v>
      </c>
    </row>
    <row r="20" spans="1:23" x14ac:dyDescent="0.35">
      <c r="A20">
        <v>2019</v>
      </c>
      <c r="B20" t="s">
        <v>69</v>
      </c>
      <c r="C20" t="s">
        <v>12</v>
      </c>
      <c r="D20" t="s">
        <v>31</v>
      </c>
      <c r="E20" t="s">
        <v>19</v>
      </c>
      <c r="F20" t="s">
        <v>41</v>
      </c>
      <c r="G20">
        <v>299</v>
      </c>
      <c r="H20">
        <v>4</v>
      </c>
      <c r="I20">
        <f t="shared" si="5"/>
        <v>1196</v>
      </c>
      <c r="J20" s="4">
        <v>45341</v>
      </c>
      <c r="K20" t="s">
        <v>70</v>
      </c>
      <c r="M20" t="str">
        <f>PROPER(TRIM(B20))</f>
        <v>Patricia Moore</v>
      </c>
      <c r="N20" t="str">
        <f t="shared" si="0"/>
        <v>South</v>
      </c>
      <c r="O20" t="str">
        <f t="shared" si="1"/>
        <v>Houston</v>
      </c>
      <c r="P20" t="str">
        <f t="shared" si="2"/>
        <v>TX</v>
      </c>
      <c r="Q20" t="str">
        <f t="shared" si="3"/>
        <v>Houston, TX</v>
      </c>
      <c r="R20" t="s">
        <v>199</v>
      </c>
      <c r="S20" s="6">
        <v>299</v>
      </c>
      <c r="T20" s="8">
        <v>4</v>
      </c>
      <c r="U20" s="6">
        <f t="shared" si="6"/>
        <v>1196</v>
      </c>
      <c r="V20" s="4">
        <v>45341</v>
      </c>
      <c r="W20" t="str">
        <f t="shared" si="4"/>
        <v>customer19@company.com</v>
      </c>
    </row>
    <row r="21" spans="1:23" x14ac:dyDescent="0.35">
      <c r="A21">
        <v>2020</v>
      </c>
      <c r="B21" t="s">
        <v>71</v>
      </c>
      <c r="C21" t="s">
        <v>37</v>
      </c>
      <c r="D21" t="s">
        <v>31</v>
      </c>
      <c r="E21" t="s">
        <v>19</v>
      </c>
      <c r="F21" t="s">
        <v>24</v>
      </c>
      <c r="G21">
        <v>699</v>
      </c>
      <c r="H21">
        <v>2</v>
      </c>
      <c r="I21">
        <f t="shared" si="5"/>
        <v>1398</v>
      </c>
      <c r="J21" s="4">
        <v>45342</v>
      </c>
      <c r="K21" t="s">
        <v>72</v>
      </c>
      <c r="M21" t="str">
        <f>PROPER(TRIM(B21))</f>
        <v>Linda Anderson</v>
      </c>
      <c r="N21" t="str">
        <f t="shared" si="0"/>
        <v>Midwest</v>
      </c>
      <c r="O21" t="str">
        <f t="shared" si="1"/>
        <v>Houston</v>
      </c>
      <c r="P21" t="str">
        <f t="shared" si="2"/>
        <v>TX</v>
      </c>
      <c r="Q21" t="str">
        <f t="shared" si="3"/>
        <v>Houston, TX</v>
      </c>
      <c r="R21" t="s">
        <v>197</v>
      </c>
      <c r="S21" s="6">
        <v>699</v>
      </c>
      <c r="T21" s="8">
        <v>2</v>
      </c>
      <c r="U21" s="6">
        <f t="shared" si="6"/>
        <v>1398</v>
      </c>
      <c r="V21" s="4">
        <v>45342</v>
      </c>
      <c r="W21" t="str">
        <f t="shared" si="4"/>
        <v>customer20@company.com</v>
      </c>
    </row>
    <row r="22" spans="1:23" x14ac:dyDescent="0.35">
      <c r="A22">
        <v>2023</v>
      </c>
      <c r="B22" t="s">
        <v>73</v>
      </c>
      <c r="C22" t="s">
        <v>46</v>
      </c>
      <c r="D22" t="s">
        <v>31</v>
      </c>
      <c r="E22" t="s">
        <v>19</v>
      </c>
      <c r="F22" t="s">
        <v>15</v>
      </c>
      <c r="G22">
        <v>89</v>
      </c>
      <c r="H22">
        <v>5</v>
      </c>
      <c r="I22">
        <f t="shared" si="5"/>
        <v>445</v>
      </c>
      <c r="J22" s="4">
        <v>45343</v>
      </c>
      <c r="K22" t="s">
        <v>74</v>
      </c>
      <c r="M22" t="str">
        <f>PROPER(TRIM(B22))</f>
        <v>William Anderson</v>
      </c>
      <c r="N22" t="str">
        <f t="shared" si="0"/>
        <v>East</v>
      </c>
      <c r="O22" t="str">
        <f t="shared" si="1"/>
        <v>Houston</v>
      </c>
      <c r="P22" t="str">
        <f t="shared" si="2"/>
        <v>TX</v>
      </c>
      <c r="Q22" t="str">
        <f t="shared" si="3"/>
        <v>Houston, TX</v>
      </c>
      <c r="R22" t="s">
        <v>195</v>
      </c>
      <c r="S22" s="6">
        <v>89</v>
      </c>
      <c r="T22" s="8">
        <v>5</v>
      </c>
      <c r="U22" s="6">
        <f t="shared" si="6"/>
        <v>445</v>
      </c>
      <c r="V22" s="4">
        <v>45343</v>
      </c>
      <c r="W22" t="str">
        <f t="shared" si="4"/>
        <v>customer22@company.com</v>
      </c>
    </row>
    <row r="23" spans="1:23" x14ac:dyDescent="0.35">
      <c r="A23">
        <v>2024</v>
      </c>
      <c r="B23" t="s">
        <v>26</v>
      </c>
      <c r="C23" t="s">
        <v>12</v>
      </c>
      <c r="D23" t="s">
        <v>31</v>
      </c>
      <c r="E23" t="s">
        <v>19</v>
      </c>
      <c r="F23" t="s">
        <v>24</v>
      </c>
      <c r="G23">
        <v>699</v>
      </c>
      <c r="H23">
        <v>2</v>
      </c>
      <c r="I23">
        <f t="shared" si="5"/>
        <v>1398</v>
      </c>
      <c r="J23" s="4">
        <v>45344</v>
      </c>
      <c r="K23" t="s">
        <v>75</v>
      </c>
      <c r="M23" t="str">
        <f>PROPER(TRIM(B23))</f>
        <v>Michael Thomas</v>
      </c>
      <c r="N23" t="str">
        <f t="shared" si="0"/>
        <v>South</v>
      </c>
      <c r="O23" t="str">
        <f t="shared" si="1"/>
        <v>Houston</v>
      </c>
      <c r="P23" t="str">
        <f t="shared" si="2"/>
        <v>TX</v>
      </c>
      <c r="Q23" t="str">
        <f t="shared" si="3"/>
        <v>Houston, TX</v>
      </c>
      <c r="R23" t="s">
        <v>197</v>
      </c>
      <c r="S23" s="6">
        <v>699</v>
      </c>
      <c r="T23" s="8">
        <v>2</v>
      </c>
      <c r="U23" s="6">
        <f t="shared" si="6"/>
        <v>1398</v>
      </c>
      <c r="V23" s="4">
        <v>45344</v>
      </c>
      <c r="W23" t="str">
        <f t="shared" si="4"/>
        <v>customer23@company.com</v>
      </c>
    </row>
    <row r="24" spans="1:23" x14ac:dyDescent="0.35">
      <c r="A24">
        <v>2025</v>
      </c>
      <c r="B24" t="s">
        <v>53</v>
      </c>
      <c r="C24" t="s">
        <v>37</v>
      </c>
      <c r="D24" t="s">
        <v>27</v>
      </c>
      <c r="E24" t="s">
        <v>28</v>
      </c>
      <c r="F24" t="s">
        <v>20</v>
      </c>
      <c r="G24">
        <v>899</v>
      </c>
      <c r="H24">
        <v>4</v>
      </c>
      <c r="I24">
        <f t="shared" si="5"/>
        <v>3596</v>
      </c>
      <c r="J24" s="4">
        <v>45345</v>
      </c>
      <c r="K24" t="s">
        <v>76</v>
      </c>
      <c r="M24" t="str">
        <f>PROPER(TRIM(B24))</f>
        <v>Barbara Thomas</v>
      </c>
      <c r="N24" t="str">
        <f t="shared" si="0"/>
        <v>Midwest</v>
      </c>
      <c r="O24" t="str">
        <f t="shared" si="1"/>
        <v>San Diego</v>
      </c>
      <c r="P24" t="str">
        <f t="shared" si="2"/>
        <v>CA</v>
      </c>
      <c r="Q24" t="str">
        <f t="shared" si="3"/>
        <v>San Diego, CA</v>
      </c>
      <c r="R24" t="s">
        <v>196</v>
      </c>
      <c r="S24" s="6">
        <v>899</v>
      </c>
      <c r="T24" s="8">
        <v>4</v>
      </c>
      <c r="U24" s="6">
        <f t="shared" si="6"/>
        <v>3596</v>
      </c>
      <c r="V24" s="4">
        <v>45345</v>
      </c>
      <c r="W24" t="str">
        <f t="shared" si="4"/>
        <v>customer24@company.com</v>
      </c>
    </row>
    <row r="25" spans="1:23" x14ac:dyDescent="0.35">
      <c r="A25">
        <v>2026</v>
      </c>
      <c r="B25" t="s">
        <v>77</v>
      </c>
      <c r="C25" t="s">
        <v>46</v>
      </c>
      <c r="D25" t="s">
        <v>38</v>
      </c>
      <c r="E25" t="s">
        <v>28</v>
      </c>
      <c r="F25" t="s">
        <v>41</v>
      </c>
      <c r="G25">
        <v>299</v>
      </c>
      <c r="H25">
        <v>3</v>
      </c>
      <c r="I25">
        <f t="shared" si="5"/>
        <v>897</v>
      </c>
      <c r="J25" s="4">
        <v>45346</v>
      </c>
      <c r="K25" t="s">
        <v>78</v>
      </c>
      <c r="M25" t="str">
        <f>PROPER(TRIM(B25))</f>
        <v>Linda Moore</v>
      </c>
      <c r="N25" t="str">
        <f t="shared" si="0"/>
        <v>East</v>
      </c>
      <c r="O25" t="str">
        <f t="shared" si="1"/>
        <v>Los Angeles</v>
      </c>
      <c r="P25" t="str">
        <f t="shared" si="2"/>
        <v>CA</v>
      </c>
      <c r="Q25" t="str">
        <f t="shared" si="3"/>
        <v>Los Angeles, CA</v>
      </c>
      <c r="R25" t="s">
        <v>199</v>
      </c>
      <c r="S25" s="6">
        <v>299</v>
      </c>
      <c r="T25" s="8">
        <v>3</v>
      </c>
      <c r="U25" s="6">
        <f t="shared" si="6"/>
        <v>897</v>
      </c>
      <c r="V25" s="4">
        <v>45346</v>
      </c>
      <c r="W25" t="str">
        <f t="shared" si="4"/>
        <v>customer25@company.com</v>
      </c>
    </row>
    <row r="26" spans="1:23" x14ac:dyDescent="0.35">
      <c r="A26">
        <v>2027</v>
      </c>
      <c r="B26" t="s">
        <v>11</v>
      </c>
      <c r="C26" t="s">
        <v>46</v>
      </c>
      <c r="D26" t="s">
        <v>38</v>
      </c>
      <c r="E26" t="s">
        <v>28</v>
      </c>
      <c r="F26" t="s">
        <v>15</v>
      </c>
      <c r="G26">
        <v>89</v>
      </c>
      <c r="H26">
        <v>3</v>
      </c>
      <c r="I26">
        <f t="shared" si="5"/>
        <v>267</v>
      </c>
      <c r="J26" s="4">
        <v>45347</v>
      </c>
      <c r="K26" t="s">
        <v>79</v>
      </c>
      <c r="M26" t="str">
        <f>PROPER(TRIM(B26))</f>
        <v>Patricia Taylor</v>
      </c>
      <c r="N26" t="str">
        <f t="shared" si="0"/>
        <v>East</v>
      </c>
      <c r="O26" t="str">
        <f t="shared" si="1"/>
        <v>Los Angeles</v>
      </c>
      <c r="P26" t="str">
        <f t="shared" si="2"/>
        <v>CA</v>
      </c>
      <c r="Q26" t="str">
        <f t="shared" si="3"/>
        <v>Los Angeles, CA</v>
      </c>
      <c r="R26" t="s">
        <v>195</v>
      </c>
      <c r="S26" s="6">
        <v>89</v>
      </c>
      <c r="T26" s="8">
        <v>3</v>
      </c>
      <c r="U26" s="6">
        <f t="shared" si="6"/>
        <v>267</v>
      </c>
      <c r="V26" s="4">
        <v>45347</v>
      </c>
      <c r="W26" t="str">
        <f t="shared" si="4"/>
        <v>customer26@company.com</v>
      </c>
    </row>
    <row r="27" spans="1:23" x14ac:dyDescent="0.35">
      <c r="A27">
        <v>2028</v>
      </c>
      <c r="B27" t="s">
        <v>80</v>
      </c>
      <c r="C27" t="s">
        <v>12</v>
      </c>
      <c r="D27" t="s">
        <v>27</v>
      </c>
      <c r="E27" t="s">
        <v>28</v>
      </c>
      <c r="F27" t="s">
        <v>20</v>
      </c>
      <c r="G27">
        <v>899</v>
      </c>
      <c r="H27">
        <v>5</v>
      </c>
      <c r="I27">
        <f t="shared" si="5"/>
        <v>4495</v>
      </c>
      <c r="J27" s="4">
        <v>45348</v>
      </c>
      <c r="K27" t="s">
        <v>81</v>
      </c>
      <c r="M27" t="str">
        <f>PROPER(TRIM(B27))</f>
        <v>James Moore</v>
      </c>
      <c r="N27" t="str">
        <f t="shared" si="0"/>
        <v>South</v>
      </c>
      <c r="O27" t="str">
        <f t="shared" si="1"/>
        <v>San Diego</v>
      </c>
      <c r="P27" t="str">
        <f t="shared" si="2"/>
        <v>CA</v>
      </c>
      <c r="Q27" t="str">
        <f t="shared" si="3"/>
        <v>San Diego, CA</v>
      </c>
      <c r="R27" t="s">
        <v>196</v>
      </c>
      <c r="S27" s="6">
        <v>899</v>
      </c>
      <c r="T27" s="8">
        <v>5</v>
      </c>
      <c r="U27" s="6">
        <f t="shared" si="6"/>
        <v>4495</v>
      </c>
      <c r="V27" s="4">
        <v>45348</v>
      </c>
      <c r="W27" t="str">
        <f t="shared" si="4"/>
        <v>customer27@company.com</v>
      </c>
    </row>
    <row r="28" spans="1:23" x14ac:dyDescent="0.35">
      <c r="A28">
        <v>2029</v>
      </c>
      <c r="B28" t="s">
        <v>82</v>
      </c>
      <c r="C28" t="s">
        <v>12</v>
      </c>
      <c r="D28" t="s">
        <v>38</v>
      </c>
      <c r="E28" t="s">
        <v>28</v>
      </c>
      <c r="F28" t="s">
        <v>34</v>
      </c>
      <c r="G28">
        <v>499</v>
      </c>
      <c r="H28">
        <v>2</v>
      </c>
      <c r="I28">
        <f t="shared" si="5"/>
        <v>998</v>
      </c>
      <c r="J28" s="4">
        <v>45349</v>
      </c>
      <c r="K28" t="s">
        <v>83</v>
      </c>
      <c r="M28" t="str">
        <f>PROPER(TRIM(B28))</f>
        <v>Mary Davis</v>
      </c>
      <c r="N28" t="str">
        <f t="shared" si="0"/>
        <v>South</v>
      </c>
      <c r="O28" t="str">
        <f t="shared" si="1"/>
        <v>Los Angeles</v>
      </c>
      <c r="P28" t="str">
        <f t="shared" si="2"/>
        <v>CA</v>
      </c>
      <c r="Q28" t="str">
        <f t="shared" si="3"/>
        <v>Los Angeles, CA</v>
      </c>
      <c r="R28" t="s">
        <v>198</v>
      </c>
      <c r="S28" s="6">
        <v>499</v>
      </c>
      <c r="T28" s="8">
        <v>2</v>
      </c>
      <c r="U28" s="6">
        <f t="shared" si="6"/>
        <v>998</v>
      </c>
      <c r="V28" s="4">
        <v>45349</v>
      </c>
      <c r="W28" t="str">
        <f t="shared" si="4"/>
        <v>customer28@company.com</v>
      </c>
    </row>
    <row r="29" spans="1:23" x14ac:dyDescent="0.35">
      <c r="A29">
        <v>2030</v>
      </c>
      <c r="B29" t="s">
        <v>84</v>
      </c>
      <c r="C29" t="s">
        <v>37</v>
      </c>
      <c r="D29" t="s">
        <v>62</v>
      </c>
      <c r="E29" t="s">
        <v>63</v>
      </c>
      <c r="F29" t="s">
        <v>24</v>
      </c>
      <c r="G29">
        <v>699</v>
      </c>
      <c r="H29">
        <v>1</v>
      </c>
      <c r="I29">
        <f t="shared" si="5"/>
        <v>699</v>
      </c>
      <c r="J29" s="4">
        <v>45350</v>
      </c>
      <c r="K29" t="s">
        <v>85</v>
      </c>
      <c r="M29" t="str">
        <f>PROPER(TRIM(B29))</f>
        <v>Patricia Jackson</v>
      </c>
      <c r="N29" t="str">
        <f t="shared" si="0"/>
        <v>Midwest</v>
      </c>
      <c r="O29" t="str">
        <f t="shared" si="1"/>
        <v>Phoenix</v>
      </c>
      <c r="P29" t="str">
        <f t="shared" si="2"/>
        <v>AZ</v>
      </c>
      <c r="Q29" t="str">
        <f t="shared" si="3"/>
        <v>Phoenix, AZ</v>
      </c>
      <c r="R29" t="s">
        <v>197</v>
      </c>
      <c r="S29" s="6">
        <v>699</v>
      </c>
      <c r="T29" s="8">
        <v>1</v>
      </c>
      <c r="U29" s="6">
        <f t="shared" si="6"/>
        <v>699</v>
      </c>
      <c r="V29" s="4">
        <v>45350</v>
      </c>
      <c r="W29" t="str">
        <f t="shared" si="4"/>
        <v>customer29@company.com</v>
      </c>
    </row>
    <row r="30" spans="1:23" x14ac:dyDescent="0.35">
      <c r="A30">
        <v>2031</v>
      </c>
      <c r="B30" t="s">
        <v>26</v>
      </c>
      <c r="C30" t="s">
        <v>12</v>
      </c>
      <c r="D30" t="s">
        <v>54</v>
      </c>
      <c r="E30" t="s">
        <v>55</v>
      </c>
      <c r="F30" t="s">
        <v>20</v>
      </c>
      <c r="G30">
        <v>899</v>
      </c>
      <c r="H30">
        <v>2</v>
      </c>
      <c r="I30">
        <f t="shared" si="5"/>
        <v>1798</v>
      </c>
      <c r="J30" s="4">
        <v>45351</v>
      </c>
      <c r="K30" t="s">
        <v>86</v>
      </c>
      <c r="M30" t="str">
        <f>PROPER(TRIM(B30))</f>
        <v>Michael Thomas</v>
      </c>
      <c r="N30" t="str">
        <f t="shared" si="0"/>
        <v>South</v>
      </c>
      <c r="O30" t="str">
        <f t="shared" si="1"/>
        <v>Philadelphia</v>
      </c>
      <c r="P30" t="str">
        <f t="shared" si="2"/>
        <v>PA</v>
      </c>
      <c r="Q30" t="str">
        <f t="shared" si="3"/>
        <v>Philadelphia, PA</v>
      </c>
      <c r="R30" t="s">
        <v>196</v>
      </c>
      <c r="S30" s="6">
        <v>899</v>
      </c>
      <c r="T30" s="8">
        <v>2</v>
      </c>
      <c r="U30" s="6">
        <f t="shared" si="6"/>
        <v>1798</v>
      </c>
      <c r="V30" s="4">
        <v>45351</v>
      </c>
      <c r="W30" t="str">
        <f t="shared" si="4"/>
        <v>customer30@company.com</v>
      </c>
    </row>
    <row r="31" spans="1:23" x14ac:dyDescent="0.35">
      <c r="A31">
        <v>2032</v>
      </c>
      <c r="B31" t="s">
        <v>87</v>
      </c>
      <c r="C31" t="s">
        <v>46</v>
      </c>
      <c r="D31" t="s">
        <v>13</v>
      </c>
      <c r="E31" t="s">
        <v>14</v>
      </c>
      <c r="F31" t="s">
        <v>20</v>
      </c>
      <c r="G31">
        <v>899</v>
      </c>
      <c r="H31">
        <v>5</v>
      </c>
      <c r="I31">
        <f t="shared" si="5"/>
        <v>4495</v>
      </c>
      <c r="J31" s="4">
        <v>45352</v>
      </c>
      <c r="K31" t="s">
        <v>88</v>
      </c>
      <c r="M31" t="str">
        <f>PROPER(TRIM(B31))</f>
        <v>Robert Anderson</v>
      </c>
      <c r="N31" t="str">
        <f t="shared" si="0"/>
        <v>East</v>
      </c>
      <c r="O31" t="str">
        <f t="shared" si="1"/>
        <v>Chicago</v>
      </c>
      <c r="P31" t="str">
        <f t="shared" si="2"/>
        <v>IL</v>
      </c>
      <c r="Q31" t="str">
        <f t="shared" si="3"/>
        <v>Chicago, IL</v>
      </c>
      <c r="R31" t="s">
        <v>196</v>
      </c>
      <c r="S31" s="6">
        <v>899</v>
      </c>
      <c r="T31" s="8">
        <v>5</v>
      </c>
      <c r="U31" s="6">
        <f t="shared" si="6"/>
        <v>4495</v>
      </c>
      <c r="V31" s="4">
        <v>45352</v>
      </c>
      <c r="W31" t="str">
        <f t="shared" si="4"/>
        <v>customer31@company.com</v>
      </c>
    </row>
    <row r="32" spans="1:23" x14ac:dyDescent="0.35">
      <c r="A32">
        <v>2033</v>
      </c>
      <c r="B32" t="s">
        <v>89</v>
      </c>
      <c r="C32" t="s">
        <v>46</v>
      </c>
      <c r="D32" t="s">
        <v>18</v>
      </c>
      <c r="E32" t="s">
        <v>19</v>
      </c>
      <c r="F32" t="s">
        <v>41</v>
      </c>
      <c r="G32">
        <v>299</v>
      </c>
      <c r="H32">
        <v>3</v>
      </c>
      <c r="I32">
        <f t="shared" si="5"/>
        <v>897</v>
      </c>
      <c r="J32" s="4">
        <v>45353</v>
      </c>
      <c r="K32" t="s">
        <v>90</v>
      </c>
      <c r="M32" t="str">
        <f>PROPER(TRIM(B32))</f>
        <v>Barbara Taylor</v>
      </c>
      <c r="N32" t="str">
        <f t="shared" si="0"/>
        <v>East</v>
      </c>
      <c r="O32" t="str">
        <f t="shared" si="1"/>
        <v>San Antonio</v>
      </c>
      <c r="P32" t="str">
        <f t="shared" si="2"/>
        <v>TX</v>
      </c>
      <c r="Q32" t="str">
        <f t="shared" si="3"/>
        <v>San Antonio, TX</v>
      </c>
      <c r="R32" t="s">
        <v>199</v>
      </c>
      <c r="S32" s="6">
        <v>299</v>
      </c>
      <c r="T32" s="8">
        <v>3</v>
      </c>
      <c r="U32" s="6">
        <f t="shared" si="6"/>
        <v>897</v>
      </c>
      <c r="V32" s="4">
        <v>45353</v>
      </c>
      <c r="W32" t="str">
        <f t="shared" si="4"/>
        <v>customer32@company.com</v>
      </c>
    </row>
    <row r="33" spans="1:23" x14ac:dyDescent="0.35">
      <c r="A33">
        <v>2034</v>
      </c>
      <c r="B33" t="s">
        <v>91</v>
      </c>
      <c r="C33" t="s">
        <v>23</v>
      </c>
      <c r="D33" t="s">
        <v>62</v>
      </c>
      <c r="E33" t="s">
        <v>63</v>
      </c>
      <c r="F33" t="s">
        <v>20</v>
      </c>
      <c r="G33">
        <v>899</v>
      </c>
      <c r="H33">
        <v>5</v>
      </c>
      <c r="I33">
        <f t="shared" si="5"/>
        <v>4495</v>
      </c>
      <c r="J33" s="4">
        <v>45354</v>
      </c>
      <c r="K33" t="s">
        <v>92</v>
      </c>
      <c r="M33" t="str">
        <f>PROPER(TRIM(B33))</f>
        <v>Linda Davis</v>
      </c>
      <c r="N33" t="str">
        <f t="shared" si="0"/>
        <v>West</v>
      </c>
      <c r="O33" t="str">
        <f t="shared" si="1"/>
        <v>Phoenix</v>
      </c>
      <c r="P33" t="str">
        <f t="shared" si="2"/>
        <v>AZ</v>
      </c>
      <c r="Q33" t="str">
        <f t="shared" si="3"/>
        <v>Phoenix, AZ</v>
      </c>
      <c r="R33" t="s">
        <v>196</v>
      </c>
      <c r="S33" s="6">
        <v>899</v>
      </c>
      <c r="T33" s="8">
        <v>5</v>
      </c>
      <c r="U33" s="6">
        <f t="shared" si="6"/>
        <v>4495</v>
      </c>
      <c r="V33" s="4">
        <v>45354</v>
      </c>
      <c r="W33" t="str">
        <f t="shared" si="4"/>
        <v>customer33@company.com</v>
      </c>
    </row>
    <row r="34" spans="1:23" x14ac:dyDescent="0.35">
      <c r="A34">
        <v>2035</v>
      </c>
      <c r="B34" t="s">
        <v>93</v>
      </c>
      <c r="C34" t="s">
        <v>46</v>
      </c>
      <c r="D34" t="s">
        <v>38</v>
      </c>
      <c r="E34" t="s">
        <v>28</v>
      </c>
      <c r="F34" t="s">
        <v>24</v>
      </c>
      <c r="G34">
        <v>699</v>
      </c>
      <c r="H34">
        <v>1</v>
      </c>
      <c r="I34">
        <f t="shared" si="5"/>
        <v>699</v>
      </c>
      <c r="J34" s="4">
        <v>45355</v>
      </c>
      <c r="K34" t="s">
        <v>94</v>
      </c>
      <c r="M34" t="str">
        <f>PROPER(TRIM(B34))</f>
        <v>James Jackson</v>
      </c>
      <c r="N34" t="str">
        <f t="shared" si="0"/>
        <v>East</v>
      </c>
      <c r="O34" t="str">
        <f t="shared" si="1"/>
        <v>Los Angeles</v>
      </c>
      <c r="P34" t="str">
        <f t="shared" si="2"/>
        <v>CA</v>
      </c>
      <c r="Q34" t="str">
        <f t="shared" si="3"/>
        <v>Los Angeles, CA</v>
      </c>
      <c r="R34" t="s">
        <v>197</v>
      </c>
      <c r="S34" s="6">
        <v>699</v>
      </c>
      <c r="T34" s="8">
        <v>1</v>
      </c>
      <c r="U34" s="6">
        <f t="shared" si="6"/>
        <v>699</v>
      </c>
      <c r="V34" s="4">
        <v>45355</v>
      </c>
      <c r="W34" t="str">
        <f t="shared" si="4"/>
        <v>customer34@company.com</v>
      </c>
    </row>
    <row r="35" spans="1:23" x14ac:dyDescent="0.35">
      <c r="A35">
        <v>2036</v>
      </c>
      <c r="B35" t="s">
        <v>82</v>
      </c>
      <c r="C35" t="s">
        <v>46</v>
      </c>
      <c r="D35" t="s">
        <v>27</v>
      </c>
      <c r="E35" t="s">
        <v>28</v>
      </c>
      <c r="F35" t="s">
        <v>15</v>
      </c>
      <c r="G35">
        <v>89</v>
      </c>
      <c r="H35">
        <v>2</v>
      </c>
      <c r="I35">
        <f t="shared" si="5"/>
        <v>178</v>
      </c>
      <c r="J35" s="4">
        <v>45356</v>
      </c>
      <c r="K35" t="s">
        <v>95</v>
      </c>
      <c r="M35" t="str">
        <f>PROPER(TRIM(B35))</f>
        <v>Mary Davis</v>
      </c>
      <c r="N35" t="str">
        <f t="shared" si="0"/>
        <v>East</v>
      </c>
      <c r="O35" t="str">
        <f t="shared" si="1"/>
        <v>San Diego</v>
      </c>
      <c r="P35" t="str">
        <f t="shared" si="2"/>
        <v>CA</v>
      </c>
      <c r="Q35" t="str">
        <f t="shared" si="3"/>
        <v>San Diego, CA</v>
      </c>
      <c r="R35" t="s">
        <v>195</v>
      </c>
      <c r="S35" s="6">
        <v>89</v>
      </c>
      <c r="T35" s="8">
        <v>2</v>
      </c>
      <c r="U35" s="6">
        <f t="shared" si="6"/>
        <v>178</v>
      </c>
      <c r="V35" s="4">
        <v>45356</v>
      </c>
      <c r="W35" t="str">
        <f t="shared" si="4"/>
        <v>customer35@company.com</v>
      </c>
    </row>
    <row r="36" spans="1:23" x14ac:dyDescent="0.35">
      <c r="A36">
        <v>2037</v>
      </c>
      <c r="B36" t="s">
        <v>96</v>
      </c>
      <c r="C36" t="s">
        <v>12</v>
      </c>
      <c r="D36" t="s">
        <v>13</v>
      </c>
      <c r="E36" t="s">
        <v>14</v>
      </c>
      <c r="F36" t="s">
        <v>24</v>
      </c>
      <c r="G36">
        <v>699</v>
      </c>
      <c r="H36">
        <v>5</v>
      </c>
      <c r="I36">
        <f t="shared" si="5"/>
        <v>3495</v>
      </c>
      <c r="J36" s="4">
        <v>45357</v>
      </c>
      <c r="K36" t="s">
        <v>97</v>
      </c>
      <c r="M36" t="str">
        <f>PROPER(TRIM(B36))</f>
        <v>Barbara Johnson</v>
      </c>
      <c r="N36" t="str">
        <f t="shared" si="0"/>
        <v>South</v>
      </c>
      <c r="O36" t="str">
        <f t="shared" si="1"/>
        <v>Chicago</v>
      </c>
      <c r="P36" t="str">
        <f t="shared" si="2"/>
        <v>IL</v>
      </c>
      <c r="Q36" t="str">
        <f t="shared" si="3"/>
        <v>Chicago, IL</v>
      </c>
      <c r="R36" t="s">
        <v>197</v>
      </c>
      <c r="S36" s="6">
        <v>699</v>
      </c>
      <c r="T36" s="8">
        <v>5</v>
      </c>
      <c r="U36" s="6">
        <f t="shared" si="6"/>
        <v>3495</v>
      </c>
      <c r="V36" s="4">
        <v>45357</v>
      </c>
      <c r="W36" t="str">
        <f t="shared" si="4"/>
        <v>customer36@company.com</v>
      </c>
    </row>
    <row r="37" spans="1:23" x14ac:dyDescent="0.35">
      <c r="A37">
        <v>2038</v>
      </c>
      <c r="B37" t="s">
        <v>98</v>
      </c>
      <c r="C37" t="s">
        <v>46</v>
      </c>
      <c r="D37" t="s">
        <v>54</v>
      </c>
      <c r="E37" t="s">
        <v>55</v>
      </c>
      <c r="F37" t="s">
        <v>15</v>
      </c>
      <c r="G37">
        <v>89</v>
      </c>
      <c r="H37">
        <v>3</v>
      </c>
      <c r="I37">
        <f t="shared" si="5"/>
        <v>267</v>
      </c>
      <c r="J37" s="4">
        <v>45358</v>
      </c>
      <c r="K37" t="s">
        <v>99</v>
      </c>
      <c r="M37" t="str">
        <f>PROPER(TRIM(B37))</f>
        <v>William Taylor</v>
      </c>
      <c r="N37" t="str">
        <f t="shared" si="0"/>
        <v>East</v>
      </c>
      <c r="O37" t="str">
        <f t="shared" si="1"/>
        <v>Philadelphia</v>
      </c>
      <c r="P37" t="str">
        <f t="shared" si="2"/>
        <v>PA</v>
      </c>
      <c r="Q37" t="str">
        <f t="shared" si="3"/>
        <v>Philadelphia, PA</v>
      </c>
      <c r="R37" t="s">
        <v>195</v>
      </c>
      <c r="S37" s="6">
        <v>89</v>
      </c>
      <c r="T37" s="8">
        <v>3</v>
      </c>
      <c r="U37" s="6">
        <f t="shared" si="6"/>
        <v>267</v>
      </c>
      <c r="V37" s="4">
        <v>45358</v>
      </c>
      <c r="W37" t="str">
        <f t="shared" si="4"/>
        <v>customer37@company.com</v>
      </c>
    </row>
    <row r="38" spans="1:23" x14ac:dyDescent="0.35">
      <c r="A38">
        <v>2039</v>
      </c>
      <c r="B38" t="s">
        <v>100</v>
      </c>
      <c r="C38" t="s">
        <v>46</v>
      </c>
      <c r="D38" t="s">
        <v>62</v>
      </c>
      <c r="E38" t="s">
        <v>63</v>
      </c>
      <c r="F38" t="s">
        <v>24</v>
      </c>
      <c r="G38">
        <v>699</v>
      </c>
      <c r="H38">
        <v>3</v>
      </c>
      <c r="I38">
        <f t="shared" si="5"/>
        <v>2097</v>
      </c>
      <c r="J38" s="4">
        <v>45359</v>
      </c>
      <c r="K38" t="s">
        <v>101</v>
      </c>
      <c r="M38" t="str">
        <f>PROPER(TRIM(B38))</f>
        <v>Mary Moore</v>
      </c>
      <c r="N38" t="str">
        <f t="shared" si="0"/>
        <v>East</v>
      </c>
      <c r="O38" t="str">
        <f t="shared" si="1"/>
        <v>Phoenix</v>
      </c>
      <c r="P38" t="str">
        <f t="shared" si="2"/>
        <v>AZ</v>
      </c>
      <c r="Q38" t="str">
        <f t="shared" si="3"/>
        <v>Phoenix, AZ</v>
      </c>
      <c r="R38" t="s">
        <v>197</v>
      </c>
      <c r="S38" s="6">
        <v>699</v>
      </c>
      <c r="T38" s="8">
        <v>3</v>
      </c>
      <c r="U38" s="6">
        <f t="shared" si="6"/>
        <v>2097</v>
      </c>
      <c r="V38" s="4">
        <v>45359</v>
      </c>
      <c r="W38" t="str">
        <f t="shared" si="4"/>
        <v>customer38@company.com</v>
      </c>
    </row>
    <row r="39" spans="1:23" x14ac:dyDescent="0.35">
      <c r="A39">
        <v>2040</v>
      </c>
      <c r="B39" t="s">
        <v>102</v>
      </c>
      <c r="C39" t="s">
        <v>12</v>
      </c>
      <c r="D39" t="s">
        <v>62</v>
      </c>
      <c r="E39" t="s">
        <v>63</v>
      </c>
      <c r="F39" t="s">
        <v>20</v>
      </c>
      <c r="G39">
        <v>899</v>
      </c>
      <c r="H39">
        <v>1</v>
      </c>
      <c r="I39">
        <f t="shared" si="5"/>
        <v>899</v>
      </c>
      <c r="J39" s="4">
        <v>45360</v>
      </c>
      <c r="K39" t="s">
        <v>103</v>
      </c>
      <c r="M39" t="str">
        <f>PROPER(TRIM(B39))</f>
        <v>John Jackson</v>
      </c>
      <c r="N39" t="str">
        <f t="shared" si="0"/>
        <v>South</v>
      </c>
      <c r="O39" t="str">
        <f t="shared" si="1"/>
        <v>Phoenix</v>
      </c>
      <c r="P39" t="str">
        <f t="shared" si="2"/>
        <v>AZ</v>
      </c>
      <c r="Q39" t="str">
        <f t="shared" si="3"/>
        <v>Phoenix, AZ</v>
      </c>
      <c r="R39" t="s">
        <v>196</v>
      </c>
      <c r="S39" s="6">
        <v>899</v>
      </c>
      <c r="T39" s="8">
        <v>1</v>
      </c>
      <c r="U39" s="6">
        <f t="shared" si="6"/>
        <v>899</v>
      </c>
      <c r="V39" s="4">
        <v>45360</v>
      </c>
      <c r="W39" t="str">
        <f t="shared" si="4"/>
        <v>customer39@company.com</v>
      </c>
    </row>
    <row r="40" spans="1:23" x14ac:dyDescent="0.35">
      <c r="A40">
        <v>2041</v>
      </c>
      <c r="B40" t="s">
        <v>67</v>
      </c>
      <c r="C40" t="s">
        <v>46</v>
      </c>
      <c r="D40" t="s">
        <v>31</v>
      </c>
      <c r="E40" t="s">
        <v>19</v>
      </c>
      <c r="F40" t="s">
        <v>15</v>
      </c>
      <c r="G40">
        <v>89</v>
      </c>
      <c r="H40">
        <v>3</v>
      </c>
      <c r="I40">
        <f t="shared" si="5"/>
        <v>267</v>
      </c>
      <c r="J40" s="4">
        <v>45361</v>
      </c>
      <c r="K40" t="s">
        <v>104</v>
      </c>
      <c r="M40" t="str">
        <f>PROPER(TRIM(B40))</f>
        <v>Michael Moore</v>
      </c>
      <c r="N40" t="str">
        <f t="shared" si="0"/>
        <v>East</v>
      </c>
      <c r="O40" t="str">
        <f t="shared" si="1"/>
        <v>Houston</v>
      </c>
      <c r="P40" t="str">
        <f t="shared" si="2"/>
        <v>TX</v>
      </c>
      <c r="Q40" t="str">
        <f t="shared" si="3"/>
        <v>Houston, TX</v>
      </c>
      <c r="R40" t="s">
        <v>195</v>
      </c>
      <c r="S40" s="6">
        <v>89</v>
      </c>
      <c r="T40" s="8">
        <v>3</v>
      </c>
      <c r="U40" s="6">
        <f t="shared" si="6"/>
        <v>267</v>
      </c>
      <c r="V40" s="4">
        <v>45361</v>
      </c>
      <c r="W40" t="str">
        <f t="shared" si="4"/>
        <v>customer40@company.com</v>
      </c>
    </row>
    <row r="41" spans="1:23" x14ac:dyDescent="0.35">
      <c r="A41">
        <v>2042</v>
      </c>
      <c r="B41" t="s">
        <v>105</v>
      </c>
      <c r="C41" t="s">
        <v>23</v>
      </c>
      <c r="D41" t="s">
        <v>31</v>
      </c>
      <c r="E41" t="s">
        <v>19</v>
      </c>
      <c r="F41" t="s">
        <v>15</v>
      </c>
      <c r="G41">
        <v>89</v>
      </c>
      <c r="H41">
        <v>2</v>
      </c>
      <c r="I41">
        <f t="shared" si="5"/>
        <v>178</v>
      </c>
      <c r="J41" s="4">
        <v>45362</v>
      </c>
      <c r="K41" t="s">
        <v>106</v>
      </c>
      <c r="M41" t="str">
        <f>PROPER(TRIM(B41))</f>
        <v>Linda Wilson</v>
      </c>
      <c r="N41" t="str">
        <f t="shared" si="0"/>
        <v>West</v>
      </c>
      <c r="O41" t="str">
        <f t="shared" si="1"/>
        <v>Houston</v>
      </c>
      <c r="P41" t="str">
        <f t="shared" si="2"/>
        <v>TX</v>
      </c>
      <c r="Q41" t="str">
        <f t="shared" si="3"/>
        <v>Houston, TX</v>
      </c>
      <c r="R41" t="s">
        <v>195</v>
      </c>
      <c r="S41" s="6">
        <v>89</v>
      </c>
      <c r="T41" s="8">
        <v>2</v>
      </c>
      <c r="U41" s="6">
        <f t="shared" si="6"/>
        <v>178</v>
      </c>
      <c r="V41" s="4">
        <v>45362</v>
      </c>
      <c r="W41" t="str">
        <f t="shared" si="4"/>
        <v>customer41@company.com</v>
      </c>
    </row>
    <row r="42" spans="1:23" x14ac:dyDescent="0.35">
      <c r="A42">
        <v>2043</v>
      </c>
      <c r="B42" t="s">
        <v>107</v>
      </c>
      <c r="C42" t="s">
        <v>12</v>
      </c>
      <c r="D42" t="s">
        <v>38</v>
      </c>
      <c r="E42" t="s">
        <v>28</v>
      </c>
      <c r="F42" t="s">
        <v>15</v>
      </c>
      <c r="G42">
        <v>89</v>
      </c>
      <c r="H42">
        <v>1</v>
      </c>
      <c r="I42">
        <f t="shared" si="5"/>
        <v>89</v>
      </c>
      <c r="J42" s="4">
        <v>45363</v>
      </c>
      <c r="K42" t="s">
        <v>108</v>
      </c>
      <c r="M42" t="str">
        <f>PROPER(TRIM(B42))</f>
        <v>Michael Anderson</v>
      </c>
      <c r="N42" t="str">
        <f t="shared" si="0"/>
        <v>South</v>
      </c>
      <c r="O42" t="str">
        <f t="shared" si="1"/>
        <v>Los Angeles</v>
      </c>
      <c r="P42" t="str">
        <f t="shared" si="2"/>
        <v>CA</v>
      </c>
      <c r="Q42" t="str">
        <f t="shared" si="3"/>
        <v>Los Angeles, CA</v>
      </c>
      <c r="R42" t="s">
        <v>195</v>
      </c>
      <c r="S42" s="6">
        <v>89</v>
      </c>
      <c r="T42" s="8">
        <v>1</v>
      </c>
      <c r="U42" s="6">
        <f t="shared" si="6"/>
        <v>89</v>
      </c>
      <c r="V42" s="4">
        <v>45363</v>
      </c>
      <c r="W42" t="str">
        <f t="shared" si="4"/>
        <v>customer42@company.com</v>
      </c>
    </row>
    <row r="43" spans="1:23" x14ac:dyDescent="0.35">
      <c r="A43">
        <v>2044</v>
      </c>
      <c r="B43" t="s">
        <v>109</v>
      </c>
      <c r="C43" t="s">
        <v>46</v>
      </c>
      <c r="D43" t="s">
        <v>13</v>
      </c>
      <c r="E43" t="s">
        <v>14</v>
      </c>
      <c r="F43" t="s">
        <v>20</v>
      </c>
      <c r="G43">
        <v>899</v>
      </c>
      <c r="H43">
        <v>5</v>
      </c>
      <c r="I43">
        <f t="shared" si="5"/>
        <v>4495</v>
      </c>
      <c r="J43" s="4">
        <v>45364</v>
      </c>
      <c r="K43" t="s">
        <v>110</v>
      </c>
      <c r="M43" t="str">
        <f>PROPER(TRIM(B43))</f>
        <v>Elizabeth Davis</v>
      </c>
      <c r="N43" t="str">
        <f t="shared" si="0"/>
        <v>East</v>
      </c>
      <c r="O43" t="str">
        <f t="shared" si="1"/>
        <v>Chicago</v>
      </c>
      <c r="P43" t="str">
        <f t="shared" si="2"/>
        <v>IL</v>
      </c>
      <c r="Q43" t="str">
        <f t="shared" si="3"/>
        <v>Chicago, IL</v>
      </c>
      <c r="R43" t="s">
        <v>196</v>
      </c>
      <c r="S43" s="6">
        <v>899</v>
      </c>
      <c r="T43" s="8">
        <v>5</v>
      </c>
      <c r="U43" s="6">
        <f t="shared" si="6"/>
        <v>4495</v>
      </c>
      <c r="V43" s="4">
        <v>45364</v>
      </c>
      <c r="W43" t="str">
        <f t="shared" si="4"/>
        <v>customer43@company.com</v>
      </c>
    </row>
    <row r="44" spans="1:23" x14ac:dyDescent="0.35">
      <c r="A44">
        <v>2045</v>
      </c>
      <c r="B44" t="s">
        <v>80</v>
      </c>
      <c r="C44" t="s">
        <v>12</v>
      </c>
      <c r="D44" t="s">
        <v>18</v>
      </c>
      <c r="E44" t="s">
        <v>19</v>
      </c>
      <c r="F44" t="s">
        <v>34</v>
      </c>
      <c r="G44">
        <v>499</v>
      </c>
      <c r="H44">
        <v>4</v>
      </c>
      <c r="I44">
        <f t="shared" si="5"/>
        <v>1996</v>
      </c>
      <c r="J44" s="4">
        <v>45365</v>
      </c>
      <c r="K44" t="s">
        <v>111</v>
      </c>
      <c r="M44" t="str">
        <f>PROPER(TRIM(B44))</f>
        <v>James Moore</v>
      </c>
      <c r="N44" t="str">
        <f t="shared" si="0"/>
        <v>South</v>
      </c>
      <c r="O44" t="str">
        <f t="shared" si="1"/>
        <v>San Antonio</v>
      </c>
      <c r="P44" t="str">
        <f t="shared" si="2"/>
        <v>TX</v>
      </c>
      <c r="Q44" t="str">
        <f t="shared" si="3"/>
        <v>San Antonio, TX</v>
      </c>
      <c r="R44" t="s">
        <v>198</v>
      </c>
      <c r="S44" s="6">
        <v>499</v>
      </c>
      <c r="T44" s="8">
        <v>4</v>
      </c>
      <c r="U44" s="6">
        <f t="shared" si="6"/>
        <v>1996</v>
      </c>
      <c r="V44" s="4">
        <v>45365</v>
      </c>
      <c r="W44" t="str">
        <f t="shared" si="4"/>
        <v>customer44@company.com</v>
      </c>
    </row>
    <row r="45" spans="1:23" x14ac:dyDescent="0.35">
      <c r="A45">
        <v>2047</v>
      </c>
      <c r="B45" t="s">
        <v>112</v>
      </c>
      <c r="C45" t="s">
        <v>23</v>
      </c>
      <c r="D45" t="s">
        <v>62</v>
      </c>
      <c r="E45" t="s">
        <v>63</v>
      </c>
      <c r="F45" t="s">
        <v>15</v>
      </c>
      <c r="G45">
        <v>89</v>
      </c>
      <c r="H45">
        <v>3</v>
      </c>
      <c r="I45">
        <f t="shared" si="5"/>
        <v>267</v>
      </c>
      <c r="J45" s="4">
        <v>45366</v>
      </c>
      <c r="K45" t="s">
        <v>113</v>
      </c>
      <c r="M45" t="str">
        <f>PROPER(TRIM(B45))</f>
        <v>Elizabeth Jackson</v>
      </c>
      <c r="N45" t="str">
        <f t="shared" si="0"/>
        <v>West</v>
      </c>
      <c r="O45" t="str">
        <f t="shared" si="1"/>
        <v>Phoenix</v>
      </c>
      <c r="P45" t="str">
        <f t="shared" si="2"/>
        <v>AZ</v>
      </c>
      <c r="Q45" t="str">
        <f t="shared" si="3"/>
        <v>Phoenix, AZ</v>
      </c>
      <c r="R45" t="s">
        <v>195</v>
      </c>
      <c r="S45" s="6">
        <v>89</v>
      </c>
      <c r="T45" s="8">
        <v>3</v>
      </c>
      <c r="U45" s="6">
        <f t="shared" si="6"/>
        <v>267</v>
      </c>
      <c r="V45" s="4">
        <v>45366</v>
      </c>
      <c r="W45" t="str">
        <f t="shared" si="4"/>
        <v>customer45@company.com</v>
      </c>
    </row>
    <row r="46" spans="1:23" x14ac:dyDescent="0.35">
      <c r="A46">
        <v>2049</v>
      </c>
      <c r="B46" t="s">
        <v>114</v>
      </c>
      <c r="C46" t="s">
        <v>46</v>
      </c>
      <c r="D46" t="s">
        <v>62</v>
      </c>
      <c r="E46" t="s">
        <v>63</v>
      </c>
      <c r="F46" t="s">
        <v>34</v>
      </c>
      <c r="G46">
        <v>499</v>
      </c>
      <c r="H46">
        <v>4</v>
      </c>
      <c r="I46">
        <f t="shared" si="5"/>
        <v>1996</v>
      </c>
      <c r="J46" s="4">
        <v>45367</v>
      </c>
      <c r="K46" t="s">
        <v>115</v>
      </c>
      <c r="M46" t="str">
        <f>PROPER(TRIM(B46))</f>
        <v>Mary Taylor</v>
      </c>
      <c r="N46" t="str">
        <f t="shared" si="0"/>
        <v>East</v>
      </c>
      <c r="O46" t="str">
        <f t="shared" si="1"/>
        <v>Phoenix</v>
      </c>
      <c r="P46" t="str">
        <f t="shared" si="2"/>
        <v>AZ</v>
      </c>
      <c r="Q46" t="str">
        <f t="shared" si="3"/>
        <v>Phoenix, AZ</v>
      </c>
      <c r="R46" t="s">
        <v>198</v>
      </c>
      <c r="S46" s="6">
        <v>499</v>
      </c>
      <c r="T46" s="8">
        <v>4</v>
      </c>
      <c r="U46" s="6">
        <f t="shared" si="6"/>
        <v>1996</v>
      </c>
      <c r="V46" s="4">
        <v>45367</v>
      </c>
      <c r="W46" t="str">
        <f t="shared" si="4"/>
        <v>customer47@company.com</v>
      </c>
    </row>
    <row r="47" spans="1:23" x14ac:dyDescent="0.35">
      <c r="A47">
        <v>2050</v>
      </c>
      <c r="B47" t="s">
        <v>116</v>
      </c>
      <c r="C47" t="s">
        <v>37</v>
      </c>
      <c r="D47" t="s">
        <v>54</v>
      </c>
      <c r="E47" t="s">
        <v>55</v>
      </c>
      <c r="F47" t="s">
        <v>15</v>
      </c>
      <c r="G47">
        <v>89</v>
      </c>
      <c r="H47">
        <v>1</v>
      </c>
      <c r="I47">
        <f t="shared" si="5"/>
        <v>89</v>
      </c>
      <c r="J47" s="4">
        <v>45368</v>
      </c>
      <c r="K47" t="s">
        <v>117</v>
      </c>
      <c r="M47" t="str">
        <f>PROPER(TRIM(B47))</f>
        <v>Elizabeth Thomas</v>
      </c>
      <c r="N47" t="str">
        <f t="shared" si="0"/>
        <v>Midwest</v>
      </c>
      <c r="O47" t="str">
        <f t="shared" si="1"/>
        <v>Philadelphia</v>
      </c>
      <c r="P47" t="str">
        <f t="shared" si="2"/>
        <v>PA</v>
      </c>
      <c r="Q47" t="str">
        <f t="shared" si="3"/>
        <v>Philadelphia, PA</v>
      </c>
      <c r="R47" t="s">
        <v>195</v>
      </c>
      <c r="S47" s="6">
        <v>89</v>
      </c>
      <c r="T47" s="8">
        <v>1</v>
      </c>
      <c r="U47" s="6">
        <f t="shared" si="6"/>
        <v>89</v>
      </c>
      <c r="V47" s="4">
        <v>45368</v>
      </c>
      <c r="W47" t="str">
        <f t="shared" si="4"/>
        <v>customer48@company.com</v>
      </c>
    </row>
    <row r="48" spans="1:23" x14ac:dyDescent="0.35">
      <c r="A48">
        <v>2051</v>
      </c>
      <c r="B48" t="s">
        <v>118</v>
      </c>
      <c r="C48" t="s">
        <v>46</v>
      </c>
      <c r="D48" t="s">
        <v>27</v>
      </c>
      <c r="E48" t="s">
        <v>28</v>
      </c>
      <c r="F48" t="s">
        <v>41</v>
      </c>
      <c r="G48">
        <v>299</v>
      </c>
      <c r="H48">
        <v>4</v>
      </c>
      <c r="I48">
        <f t="shared" si="5"/>
        <v>1196</v>
      </c>
      <c r="J48" s="4">
        <v>45369</v>
      </c>
      <c r="K48" t="s">
        <v>119</v>
      </c>
      <c r="M48" t="str">
        <f>PROPER(TRIM(B48))</f>
        <v>Barbara Smith</v>
      </c>
      <c r="N48" t="str">
        <f t="shared" si="0"/>
        <v>East</v>
      </c>
      <c r="O48" t="str">
        <f t="shared" si="1"/>
        <v>San Diego</v>
      </c>
      <c r="P48" t="str">
        <f t="shared" si="2"/>
        <v>CA</v>
      </c>
      <c r="Q48" t="str">
        <f t="shared" si="3"/>
        <v>San Diego, CA</v>
      </c>
      <c r="R48" t="s">
        <v>199</v>
      </c>
      <c r="S48" s="6">
        <v>299</v>
      </c>
      <c r="T48" s="8">
        <v>4</v>
      </c>
      <c r="U48" s="6">
        <f t="shared" si="6"/>
        <v>1196</v>
      </c>
      <c r="V48" s="4">
        <v>45369</v>
      </c>
      <c r="W48" t="str">
        <f t="shared" si="4"/>
        <v>customer49@company.com</v>
      </c>
    </row>
    <row r="49" spans="1:23" x14ac:dyDescent="0.35">
      <c r="A49">
        <v>2052</v>
      </c>
      <c r="B49" t="s">
        <v>91</v>
      </c>
      <c r="C49" t="s">
        <v>37</v>
      </c>
      <c r="D49" t="s">
        <v>31</v>
      </c>
      <c r="E49" t="s">
        <v>19</v>
      </c>
      <c r="F49" t="s">
        <v>15</v>
      </c>
      <c r="G49">
        <v>89</v>
      </c>
      <c r="H49">
        <v>4</v>
      </c>
      <c r="I49">
        <f t="shared" si="5"/>
        <v>356</v>
      </c>
      <c r="J49" s="4">
        <v>45370</v>
      </c>
      <c r="K49" t="s">
        <v>120</v>
      </c>
      <c r="M49" t="str">
        <f>PROPER(TRIM(B49))</f>
        <v>Linda Davis</v>
      </c>
      <c r="N49" t="str">
        <f t="shared" si="0"/>
        <v>Midwest</v>
      </c>
      <c r="O49" t="str">
        <f t="shared" si="1"/>
        <v>Houston</v>
      </c>
      <c r="P49" t="str">
        <f t="shared" si="2"/>
        <v>TX</v>
      </c>
      <c r="Q49" t="str">
        <f t="shared" si="3"/>
        <v>Houston, TX</v>
      </c>
      <c r="R49" t="s">
        <v>195</v>
      </c>
      <c r="S49" s="6">
        <v>89</v>
      </c>
      <c r="T49" s="8">
        <v>4</v>
      </c>
      <c r="U49" s="6">
        <f t="shared" si="6"/>
        <v>356</v>
      </c>
      <c r="V49" s="4">
        <v>45370</v>
      </c>
      <c r="W49" t="str">
        <f t="shared" si="4"/>
        <v>customer50@company.com</v>
      </c>
    </row>
    <row r="50" spans="1:23" x14ac:dyDescent="0.35">
      <c r="A50">
        <v>2053</v>
      </c>
      <c r="B50" t="s">
        <v>121</v>
      </c>
      <c r="C50" t="s">
        <v>46</v>
      </c>
      <c r="D50" t="s">
        <v>27</v>
      </c>
      <c r="E50" t="s">
        <v>28</v>
      </c>
      <c r="F50" t="s">
        <v>41</v>
      </c>
      <c r="G50">
        <v>299</v>
      </c>
      <c r="H50">
        <v>2</v>
      </c>
      <c r="I50">
        <f t="shared" si="5"/>
        <v>598</v>
      </c>
      <c r="J50" s="4">
        <v>45371</v>
      </c>
      <c r="K50" t="s">
        <v>122</v>
      </c>
      <c r="M50" t="str">
        <f>PROPER(TRIM(B50))</f>
        <v>Robert Brown</v>
      </c>
      <c r="N50" t="str">
        <f t="shared" si="0"/>
        <v>East</v>
      </c>
      <c r="O50" t="str">
        <f t="shared" si="1"/>
        <v>San Diego</v>
      </c>
      <c r="P50" t="str">
        <f t="shared" si="2"/>
        <v>CA</v>
      </c>
      <c r="Q50" t="str">
        <f t="shared" si="3"/>
        <v>San Diego, CA</v>
      </c>
      <c r="R50" t="s">
        <v>199</v>
      </c>
      <c r="S50" s="6">
        <v>299</v>
      </c>
      <c r="T50" s="8">
        <v>2</v>
      </c>
      <c r="U50" s="6">
        <f t="shared" si="6"/>
        <v>598</v>
      </c>
      <c r="V50" s="4">
        <v>45371</v>
      </c>
      <c r="W50" t="str">
        <f t="shared" si="4"/>
        <v>customer51@company.com</v>
      </c>
    </row>
    <row r="51" spans="1:23" x14ac:dyDescent="0.35">
      <c r="A51">
        <v>2054</v>
      </c>
      <c r="B51" t="s">
        <v>123</v>
      </c>
      <c r="C51" t="s">
        <v>12</v>
      </c>
      <c r="D51" t="s">
        <v>38</v>
      </c>
      <c r="E51" t="s">
        <v>28</v>
      </c>
      <c r="F51" t="s">
        <v>15</v>
      </c>
      <c r="G51">
        <v>89</v>
      </c>
      <c r="H51">
        <v>5</v>
      </c>
      <c r="I51">
        <f t="shared" si="5"/>
        <v>445</v>
      </c>
      <c r="J51" s="4">
        <v>45372</v>
      </c>
      <c r="K51" t="s">
        <v>124</v>
      </c>
      <c r="M51" t="str">
        <f>PROPER(TRIM(B51))</f>
        <v>James Wilson</v>
      </c>
      <c r="N51" t="str">
        <f t="shared" si="0"/>
        <v>South</v>
      </c>
      <c r="O51" t="str">
        <f t="shared" si="1"/>
        <v>Los Angeles</v>
      </c>
      <c r="P51" t="str">
        <f t="shared" si="2"/>
        <v>CA</v>
      </c>
      <c r="Q51" t="str">
        <f t="shared" si="3"/>
        <v>Los Angeles, CA</v>
      </c>
      <c r="R51" t="s">
        <v>195</v>
      </c>
      <c r="S51" s="6">
        <v>89</v>
      </c>
      <c r="T51" s="8">
        <v>5</v>
      </c>
      <c r="U51" s="6">
        <f t="shared" si="6"/>
        <v>445</v>
      </c>
      <c r="V51" s="4">
        <v>45372</v>
      </c>
      <c r="W51" t="str">
        <f t="shared" si="4"/>
        <v>customer52@company.com</v>
      </c>
    </row>
    <row r="52" spans="1:23" x14ac:dyDescent="0.35">
      <c r="A52">
        <v>2055</v>
      </c>
      <c r="B52" t="s">
        <v>125</v>
      </c>
      <c r="C52" t="s">
        <v>46</v>
      </c>
      <c r="D52" t="s">
        <v>13</v>
      </c>
      <c r="E52" t="s">
        <v>14</v>
      </c>
      <c r="F52" t="s">
        <v>24</v>
      </c>
      <c r="G52">
        <v>699</v>
      </c>
      <c r="H52">
        <v>2</v>
      </c>
      <c r="I52">
        <f t="shared" si="5"/>
        <v>1398</v>
      </c>
      <c r="J52" s="4">
        <v>45373</v>
      </c>
      <c r="K52" t="s">
        <v>126</v>
      </c>
      <c r="M52" t="str">
        <f>PROPER(TRIM(B52))</f>
        <v>John Wilson</v>
      </c>
      <c r="N52" t="str">
        <f t="shared" si="0"/>
        <v>East</v>
      </c>
      <c r="O52" t="str">
        <f t="shared" si="1"/>
        <v>Chicago</v>
      </c>
      <c r="P52" t="str">
        <f t="shared" si="2"/>
        <v>IL</v>
      </c>
      <c r="Q52" t="str">
        <f t="shared" si="3"/>
        <v>Chicago, IL</v>
      </c>
      <c r="R52" t="s">
        <v>197</v>
      </c>
      <c r="S52" s="6">
        <v>699</v>
      </c>
      <c r="T52" s="8">
        <v>2</v>
      </c>
      <c r="U52" s="6">
        <f t="shared" si="6"/>
        <v>1398</v>
      </c>
      <c r="V52" s="4">
        <v>45373</v>
      </c>
      <c r="W52" t="str">
        <f t="shared" si="4"/>
        <v>customer53@company.com</v>
      </c>
    </row>
    <row r="53" spans="1:23" x14ac:dyDescent="0.35">
      <c r="A53">
        <v>2056</v>
      </c>
      <c r="B53" t="s">
        <v>127</v>
      </c>
      <c r="C53" t="s">
        <v>12</v>
      </c>
      <c r="D53" t="s">
        <v>27</v>
      </c>
      <c r="E53" t="s">
        <v>28</v>
      </c>
      <c r="F53" t="s">
        <v>20</v>
      </c>
      <c r="G53">
        <v>899</v>
      </c>
      <c r="H53">
        <v>4</v>
      </c>
      <c r="I53">
        <f t="shared" si="5"/>
        <v>3596</v>
      </c>
      <c r="J53" s="4">
        <v>45374</v>
      </c>
      <c r="K53" t="s">
        <v>128</v>
      </c>
      <c r="M53" t="str">
        <f>PROPER(TRIM(B53))</f>
        <v>William Wilson</v>
      </c>
      <c r="N53" t="str">
        <f t="shared" si="0"/>
        <v>South</v>
      </c>
      <c r="O53" t="str">
        <f t="shared" si="1"/>
        <v>San Diego</v>
      </c>
      <c r="P53" t="str">
        <f t="shared" si="2"/>
        <v>CA</v>
      </c>
      <c r="Q53" t="str">
        <f t="shared" si="3"/>
        <v>San Diego, CA</v>
      </c>
      <c r="R53" t="s">
        <v>196</v>
      </c>
      <c r="S53" s="6">
        <v>899</v>
      </c>
      <c r="T53" s="8">
        <v>4</v>
      </c>
      <c r="U53" s="6">
        <f t="shared" si="6"/>
        <v>3596</v>
      </c>
      <c r="V53" s="4">
        <v>45374</v>
      </c>
      <c r="W53" t="str">
        <f t="shared" si="4"/>
        <v>customer54@company.com</v>
      </c>
    </row>
    <row r="54" spans="1:23" x14ac:dyDescent="0.35">
      <c r="A54">
        <v>2057</v>
      </c>
      <c r="B54" t="s">
        <v>129</v>
      </c>
      <c r="C54" t="s">
        <v>37</v>
      </c>
      <c r="D54" t="s">
        <v>18</v>
      </c>
      <c r="E54" t="s">
        <v>19</v>
      </c>
      <c r="F54" t="s">
        <v>24</v>
      </c>
      <c r="G54">
        <v>699</v>
      </c>
      <c r="H54">
        <v>5</v>
      </c>
      <c r="I54">
        <f t="shared" si="5"/>
        <v>3495</v>
      </c>
      <c r="J54" s="4">
        <v>45375</v>
      </c>
      <c r="K54" t="s">
        <v>130</v>
      </c>
      <c r="M54" t="str">
        <f>PROPER(TRIM(B54))</f>
        <v>Patricia Wilson</v>
      </c>
      <c r="N54" t="str">
        <f t="shared" si="0"/>
        <v>Midwest</v>
      </c>
      <c r="O54" t="str">
        <f t="shared" si="1"/>
        <v>San Antonio</v>
      </c>
      <c r="P54" t="str">
        <f t="shared" si="2"/>
        <v>TX</v>
      </c>
      <c r="Q54" t="str">
        <f t="shared" si="3"/>
        <v>San Antonio, TX</v>
      </c>
      <c r="R54" t="s">
        <v>197</v>
      </c>
      <c r="S54" s="6">
        <v>699</v>
      </c>
      <c r="T54" s="8">
        <v>5</v>
      </c>
      <c r="U54" s="6">
        <f t="shared" si="6"/>
        <v>3495</v>
      </c>
      <c r="V54" s="4">
        <v>45375</v>
      </c>
      <c r="W54" t="str">
        <f t="shared" si="4"/>
        <v>customer55@company.com</v>
      </c>
    </row>
    <row r="55" spans="1:23" x14ac:dyDescent="0.35">
      <c r="A55">
        <v>2058</v>
      </c>
      <c r="B55" t="s">
        <v>131</v>
      </c>
      <c r="C55" t="s">
        <v>37</v>
      </c>
      <c r="D55" t="s">
        <v>54</v>
      </c>
      <c r="E55" t="s">
        <v>55</v>
      </c>
      <c r="F55" t="s">
        <v>15</v>
      </c>
      <c r="G55">
        <v>89</v>
      </c>
      <c r="H55">
        <v>3</v>
      </c>
      <c r="I55">
        <f t="shared" si="5"/>
        <v>267</v>
      </c>
      <c r="J55" s="4">
        <v>45376</v>
      </c>
      <c r="K55" t="s">
        <v>132</v>
      </c>
      <c r="M55" t="str">
        <f>PROPER(TRIM(B55))</f>
        <v>Linda Johnson</v>
      </c>
      <c r="N55" t="str">
        <f t="shared" si="0"/>
        <v>Midwest</v>
      </c>
      <c r="O55" t="str">
        <f t="shared" si="1"/>
        <v>Philadelphia</v>
      </c>
      <c r="P55" t="str">
        <f t="shared" si="2"/>
        <v>PA</v>
      </c>
      <c r="Q55" t="str">
        <f t="shared" si="3"/>
        <v>Philadelphia, PA</v>
      </c>
      <c r="R55" t="s">
        <v>195</v>
      </c>
      <c r="S55" s="6">
        <v>89</v>
      </c>
      <c r="T55" s="8">
        <v>3</v>
      </c>
      <c r="U55" s="6">
        <f t="shared" si="6"/>
        <v>267</v>
      </c>
      <c r="V55" s="4">
        <v>45376</v>
      </c>
      <c r="W55" t="str">
        <f t="shared" si="4"/>
        <v>customer56@company.com</v>
      </c>
    </row>
    <row r="56" spans="1:23" x14ac:dyDescent="0.35">
      <c r="A56">
        <v>2059</v>
      </c>
      <c r="B56" t="s">
        <v>125</v>
      </c>
      <c r="C56" t="s">
        <v>12</v>
      </c>
      <c r="D56" t="s">
        <v>54</v>
      </c>
      <c r="E56" t="s">
        <v>55</v>
      </c>
      <c r="F56" t="s">
        <v>15</v>
      </c>
      <c r="G56">
        <v>89</v>
      </c>
      <c r="H56">
        <v>3</v>
      </c>
      <c r="I56">
        <f t="shared" si="5"/>
        <v>267</v>
      </c>
      <c r="J56" s="4">
        <v>45377</v>
      </c>
      <c r="K56" t="s">
        <v>133</v>
      </c>
      <c r="M56" t="str">
        <f>PROPER(TRIM(B56))</f>
        <v>John Wilson</v>
      </c>
      <c r="N56" t="str">
        <f t="shared" si="0"/>
        <v>South</v>
      </c>
      <c r="O56" t="str">
        <f t="shared" si="1"/>
        <v>Philadelphia</v>
      </c>
      <c r="P56" t="str">
        <f t="shared" si="2"/>
        <v>PA</v>
      </c>
      <c r="Q56" t="str">
        <f t="shared" si="3"/>
        <v>Philadelphia, PA</v>
      </c>
      <c r="R56" t="s">
        <v>195</v>
      </c>
      <c r="S56" s="6">
        <v>89</v>
      </c>
      <c r="T56" s="8">
        <v>3</v>
      </c>
      <c r="U56" s="6">
        <f t="shared" si="6"/>
        <v>267</v>
      </c>
      <c r="V56" s="4">
        <v>45377</v>
      </c>
      <c r="W56" t="str">
        <f t="shared" si="4"/>
        <v>customer57@company.com</v>
      </c>
    </row>
    <row r="57" spans="1:23" x14ac:dyDescent="0.35">
      <c r="A57">
        <v>2060</v>
      </c>
      <c r="B57" t="s">
        <v>134</v>
      </c>
      <c r="C57" t="s">
        <v>23</v>
      </c>
      <c r="D57" t="s">
        <v>31</v>
      </c>
      <c r="E57" t="s">
        <v>19</v>
      </c>
      <c r="F57" t="s">
        <v>34</v>
      </c>
      <c r="G57">
        <v>499</v>
      </c>
      <c r="H57">
        <v>3</v>
      </c>
      <c r="I57">
        <f t="shared" si="5"/>
        <v>1497</v>
      </c>
      <c r="J57" s="4">
        <v>45378</v>
      </c>
      <c r="K57" t="s">
        <v>135</v>
      </c>
      <c r="M57" t="str">
        <f>PROPER(TRIM(B57))</f>
        <v>Linda Brown</v>
      </c>
      <c r="N57" t="str">
        <f t="shared" si="0"/>
        <v>West</v>
      </c>
      <c r="O57" t="str">
        <f t="shared" si="1"/>
        <v>Houston</v>
      </c>
      <c r="P57" t="str">
        <f t="shared" si="2"/>
        <v>TX</v>
      </c>
      <c r="Q57" t="str">
        <f t="shared" si="3"/>
        <v>Houston, TX</v>
      </c>
      <c r="R57" t="s">
        <v>198</v>
      </c>
      <c r="S57" s="6">
        <v>499</v>
      </c>
      <c r="T57" s="8">
        <v>3</v>
      </c>
      <c r="U57" s="6">
        <f t="shared" si="6"/>
        <v>1497</v>
      </c>
      <c r="V57" s="4">
        <v>45378</v>
      </c>
      <c r="W57" t="str">
        <f t="shared" si="4"/>
        <v>customer58@company.com</v>
      </c>
    </row>
    <row r="58" spans="1:23" x14ac:dyDescent="0.35">
      <c r="A58">
        <v>2061</v>
      </c>
      <c r="B58" t="s">
        <v>67</v>
      </c>
      <c r="C58" t="s">
        <v>12</v>
      </c>
      <c r="D58" t="s">
        <v>27</v>
      </c>
      <c r="E58" t="s">
        <v>28</v>
      </c>
      <c r="F58" t="s">
        <v>34</v>
      </c>
      <c r="G58">
        <v>499</v>
      </c>
      <c r="H58">
        <v>1</v>
      </c>
      <c r="I58">
        <f t="shared" si="5"/>
        <v>499</v>
      </c>
      <c r="J58" s="4">
        <v>45379</v>
      </c>
      <c r="K58" t="s">
        <v>136</v>
      </c>
      <c r="M58" t="str">
        <f>PROPER(TRIM(B58))</f>
        <v>Michael Moore</v>
      </c>
      <c r="N58" t="str">
        <f t="shared" si="0"/>
        <v>South</v>
      </c>
      <c r="O58" t="str">
        <f t="shared" si="1"/>
        <v>San Diego</v>
      </c>
      <c r="P58" t="str">
        <f t="shared" si="2"/>
        <v>CA</v>
      </c>
      <c r="Q58" t="str">
        <f t="shared" si="3"/>
        <v>San Diego, CA</v>
      </c>
      <c r="R58" t="s">
        <v>198</v>
      </c>
      <c r="S58" s="6">
        <v>499</v>
      </c>
      <c r="T58" s="8">
        <v>1</v>
      </c>
      <c r="U58" s="6">
        <f t="shared" si="6"/>
        <v>499</v>
      </c>
      <c r="V58" s="4">
        <v>45379</v>
      </c>
      <c r="W58" t="str">
        <f t="shared" si="4"/>
        <v>customer59@company.com</v>
      </c>
    </row>
    <row r="59" spans="1:23" x14ac:dyDescent="0.35">
      <c r="A59">
        <v>2063</v>
      </c>
      <c r="B59" t="s">
        <v>53</v>
      </c>
      <c r="C59" t="s">
        <v>37</v>
      </c>
      <c r="D59" t="s">
        <v>62</v>
      </c>
      <c r="E59" t="s">
        <v>63</v>
      </c>
      <c r="F59" t="s">
        <v>15</v>
      </c>
      <c r="G59">
        <v>89</v>
      </c>
      <c r="H59">
        <v>2</v>
      </c>
      <c r="I59">
        <f t="shared" si="5"/>
        <v>178</v>
      </c>
      <c r="J59" s="4">
        <v>45380</v>
      </c>
      <c r="K59" t="s">
        <v>137</v>
      </c>
      <c r="M59" t="str">
        <f>PROPER(TRIM(B59))</f>
        <v>Barbara Thomas</v>
      </c>
      <c r="N59" t="str">
        <f t="shared" si="0"/>
        <v>Midwest</v>
      </c>
      <c r="O59" t="str">
        <f t="shared" si="1"/>
        <v>Phoenix</v>
      </c>
      <c r="P59" t="str">
        <f t="shared" si="2"/>
        <v>AZ</v>
      </c>
      <c r="Q59" t="str">
        <f t="shared" si="3"/>
        <v>Phoenix, AZ</v>
      </c>
      <c r="R59" t="s">
        <v>195</v>
      </c>
      <c r="S59" s="6">
        <v>89</v>
      </c>
      <c r="T59" s="8">
        <v>2</v>
      </c>
      <c r="U59" s="6">
        <f t="shared" si="6"/>
        <v>178</v>
      </c>
      <c r="V59" s="4">
        <v>45380</v>
      </c>
      <c r="W59" t="str">
        <f t="shared" si="4"/>
        <v>customer61@company.com</v>
      </c>
    </row>
    <row r="60" spans="1:23" x14ac:dyDescent="0.35">
      <c r="A60">
        <v>2064</v>
      </c>
      <c r="B60" t="s">
        <v>138</v>
      </c>
      <c r="C60" t="s">
        <v>46</v>
      </c>
      <c r="D60" t="s">
        <v>31</v>
      </c>
      <c r="E60" t="s">
        <v>19</v>
      </c>
      <c r="F60" t="s">
        <v>41</v>
      </c>
      <c r="G60">
        <v>299</v>
      </c>
      <c r="H60">
        <v>5</v>
      </c>
      <c r="I60">
        <f t="shared" si="5"/>
        <v>1495</v>
      </c>
      <c r="J60" s="4">
        <v>45381</v>
      </c>
      <c r="K60" t="s">
        <v>139</v>
      </c>
      <c r="M60" t="str">
        <f>PROPER(TRIM(B60))</f>
        <v>Robert Moore</v>
      </c>
      <c r="N60" t="str">
        <f t="shared" si="0"/>
        <v>East</v>
      </c>
      <c r="O60" t="str">
        <f t="shared" si="1"/>
        <v>Houston</v>
      </c>
      <c r="P60" t="str">
        <f t="shared" si="2"/>
        <v>TX</v>
      </c>
      <c r="Q60" t="str">
        <f t="shared" si="3"/>
        <v>Houston, TX</v>
      </c>
      <c r="R60" t="s">
        <v>199</v>
      </c>
      <c r="S60" s="6">
        <v>299</v>
      </c>
      <c r="T60" s="8">
        <v>5</v>
      </c>
      <c r="U60" s="6">
        <f t="shared" si="6"/>
        <v>1495</v>
      </c>
      <c r="V60" s="4">
        <v>45381</v>
      </c>
      <c r="W60" t="str">
        <f t="shared" si="4"/>
        <v>customer62@company.com</v>
      </c>
    </row>
    <row r="61" spans="1:23" x14ac:dyDescent="0.35">
      <c r="A61">
        <v>2065</v>
      </c>
      <c r="B61" t="s">
        <v>140</v>
      </c>
      <c r="C61" t="s">
        <v>46</v>
      </c>
      <c r="D61" t="s">
        <v>54</v>
      </c>
      <c r="E61" t="s">
        <v>55</v>
      </c>
      <c r="F61" t="s">
        <v>24</v>
      </c>
      <c r="G61">
        <v>699</v>
      </c>
      <c r="H61">
        <v>5</v>
      </c>
      <c r="I61">
        <f t="shared" si="5"/>
        <v>3495</v>
      </c>
      <c r="J61" s="4">
        <v>45382</v>
      </c>
      <c r="K61" t="s">
        <v>141</v>
      </c>
      <c r="M61" t="str">
        <f>PROPER(TRIM(B61))</f>
        <v>James Smith</v>
      </c>
      <c r="N61" t="str">
        <f t="shared" si="0"/>
        <v>East</v>
      </c>
      <c r="O61" t="str">
        <f t="shared" si="1"/>
        <v>Philadelphia</v>
      </c>
      <c r="P61" t="str">
        <f t="shared" si="2"/>
        <v>PA</v>
      </c>
      <c r="Q61" t="str">
        <f t="shared" si="3"/>
        <v>Philadelphia, PA</v>
      </c>
      <c r="R61" t="s">
        <v>197</v>
      </c>
      <c r="S61" s="6">
        <v>699</v>
      </c>
      <c r="T61" s="8">
        <v>5</v>
      </c>
      <c r="U61" s="6">
        <f t="shared" si="6"/>
        <v>3495</v>
      </c>
      <c r="V61" s="4">
        <v>45382</v>
      </c>
      <c r="W61" t="str">
        <f t="shared" si="4"/>
        <v>customer63@company.com</v>
      </c>
    </row>
    <row r="62" spans="1:23" x14ac:dyDescent="0.35">
      <c r="A62">
        <v>2066</v>
      </c>
      <c r="B62" t="s">
        <v>142</v>
      </c>
      <c r="C62" t="s">
        <v>46</v>
      </c>
      <c r="D62" t="s">
        <v>31</v>
      </c>
      <c r="E62" t="s">
        <v>19</v>
      </c>
      <c r="F62" t="s">
        <v>34</v>
      </c>
      <c r="G62">
        <v>499</v>
      </c>
      <c r="H62">
        <v>5</v>
      </c>
      <c r="I62">
        <f t="shared" si="5"/>
        <v>2495</v>
      </c>
      <c r="J62" s="4">
        <v>45383</v>
      </c>
      <c r="K62" t="s">
        <v>143</v>
      </c>
      <c r="M62" t="str">
        <f>PROPER(TRIM(B62))</f>
        <v>John Moore</v>
      </c>
      <c r="N62" t="str">
        <f t="shared" si="0"/>
        <v>East</v>
      </c>
      <c r="O62" t="str">
        <f t="shared" si="1"/>
        <v>Houston</v>
      </c>
      <c r="P62" t="str">
        <f t="shared" si="2"/>
        <v>TX</v>
      </c>
      <c r="Q62" t="str">
        <f t="shared" si="3"/>
        <v>Houston, TX</v>
      </c>
      <c r="R62" t="s">
        <v>198</v>
      </c>
      <c r="S62" s="6">
        <v>499</v>
      </c>
      <c r="T62" s="8">
        <v>5</v>
      </c>
      <c r="U62" s="6">
        <f t="shared" si="6"/>
        <v>2495</v>
      </c>
      <c r="V62" s="4">
        <v>45383</v>
      </c>
      <c r="W62" t="str">
        <f t="shared" si="4"/>
        <v>customer64@company.com</v>
      </c>
    </row>
    <row r="63" spans="1:23" x14ac:dyDescent="0.35">
      <c r="A63">
        <v>2067</v>
      </c>
      <c r="B63" t="s">
        <v>36</v>
      </c>
      <c r="C63" t="s">
        <v>23</v>
      </c>
      <c r="D63" t="s">
        <v>38</v>
      </c>
      <c r="E63" t="s">
        <v>28</v>
      </c>
      <c r="F63" t="s">
        <v>24</v>
      </c>
      <c r="G63">
        <v>699</v>
      </c>
      <c r="H63">
        <v>5</v>
      </c>
      <c r="I63">
        <f t="shared" si="5"/>
        <v>3495</v>
      </c>
      <c r="J63" s="4">
        <v>45384</v>
      </c>
      <c r="K63" t="s">
        <v>144</v>
      </c>
      <c r="M63" t="str">
        <f>PROPER(TRIM(B63))</f>
        <v>Michael Taylor</v>
      </c>
      <c r="N63" t="str">
        <f t="shared" si="0"/>
        <v>West</v>
      </c>
      <c r="O63" t="str">
        <f t="shared" si="1"/>
        <v>Los Angeles</v>
      </c>
      <c r="P63" t="str">
        <f t="shared" si="2"/>
        <v>CA</v>
      </c>
      <c r="Q63" t="str">
        <f t="shared" si="3"/>
        <v>Los Angeles, CA</v>
      </c>
      <c r="R63" t="s">
        <v>197</v>
      </c>
      <c r="S63" s="6">
        <v>699</v>
      </c>
      <c r="T63" s="8">
        <v>5</v>
      </c>
      <c r="U63" s="6">
        <f t="shared" si="6"/>
        <v>3495</v>
      </c>
      <c r="V63" s="4">
        <v>45384</v>
      </c>
      <c r="W63" t="str">
        <f t="shared" si="4"/>
        <v>customer65@company.com</v>
      </c>
    </row>
    <row r="64" spans="1:23" x14ac:dyDescent="0.35">
      <c r="A64">
        <v>2068</v>
      </c>
      <c r="B64" t="s">
        <v>145</v>
      </c>
      <c r="C64" t="s">
        <v>12</v>
      </c>
      <c r="D64" t="s">
        <v>62</v>
      </c>
      <c r="E64" t="s">
        <v>63</v>
      </c>
      <c r="F64" t="s">
        <v>41</v>
      </c>
      <c r="G64">
        <v>299</v>
      </c>
      <c r="H64">
        <v>5</v>
      </c>
      <c r="I64">
        <f t="shared" si="5"/>
        <v>1495</v>
      </c>
      <c r="J64" s="4">
        <v>45385</v>
      </c>
      <c r="K64" t="s">
        <v>146</v>
      </c>
      <c r="M64" t="str">
        <f>PROPER(TRIM(B64))</f>
        <v>James Anderson</v>
      </c>
      <c r="N64" t="str">
        <f t="shared" si="0"/>
        <v>South</v>
      </c>
      <c r="O64" t="str">
        <f t="shared" si="1"/>
        <v>Phoenix</v>
      </c>
      <c r="P64" t="str">
        <f t="shared" si="2"/>
        <v>AZ</v>
      </c>
      <c r="Q64" t="str">
        <f t="shared" si="3"/>
        <v>Phoenix, AZ</v>
      </c>
      <c r="R64" t="s">
        <v>199</v>
      </c>
      <c r="S64" s="6">
        <v>299</v>
      </c>
      <c r="T64" s="8">
        <v>5</v>
      </c>
      <c r="U64" s="6">
        <f t="shared" si="6"/>
        <v>1495</v>
      </c>
      <c r="V64" s="4">
        <v>45385</v>
      </c>
      <c r="W64" t="str">
        <f t="shared" si="4"/>
        <v>customer66@company.com</v>
      </c>
    </row>
    <row r="65" spans="1:23" x14ac:dyDescent="0.35">
      <c r="A65">
        <v>2069</v>
      </c>
      <c r="B65" t="s">
        <v>57</v>
      </c>
      <c r="C65" t="s">
        <v>23</v>
      </c>
      <c r="D65" t="s">
        <v>13</v>
      </c>
      <c r="E65" t="s">
        <v>14</v>
      </c>
      <c r="F65" t="s">
        <v>41</v>
      </c>
      <c r="G65">
        <v>299</v>
      </c>
      <c r="H65">
        <v>1</v>
      </c>
      <c r="I65">
        <f t="shared" si="5"/>
        <v>299</v>
      </c>
      <c r="J65" s="4">
        <v>45386</v>
      </c>
      <c r="K65" t="s">
        <v>147</v>
      </c>
      <c r="M65" t="str">
        <f>PROPER(TRIM(B65))</f>
        <v>Patricia Johnson</v>
      </c>
      <c r="N65" t="str">
        <f t="shared" si="0"/>
        <v>West</v>
      </c>
      <c r="O65" t="str">
        <f t="shared" si="1"/>
        <v>Chicago</v>
      </c>
      <c r="P65" t="str">
        <f t="shared" si="2"/>
        <v>IL</v>
      </c>
      <c r="Q65" t="str">
        <f t="shared" si="3"/>
        <v>Chicago, IL</v>
      </c>
      <c r="R65" t="s">
        <v>199</v>
      </c>
      <c r="S65" s="6">
        <v>299</v>
      </c>
      <c r="T65" s="8">
        <v>1</v>
      </c>
      <c r="U65" s="6">
        <f t="shared" si="6"/>
        <v>299</v>
      </c>
      <c r="V65" s="4">
        <v>45386</v>
      </c>
      <c r="W65" t="str">
        <f t="shared" si="4"/>
        <v>customer67@company.com</v>
      </c>
    </row>
    <row r="66" spans="1:23" x14ac:dyDescent="0.35">
      <c r="A66">
        <v>2070</v>
      </c>
      <c r="B66" t="s">
        <v>148</v>
      </c>
      <c r="C66" t="s">
        <v>37</v>
      </c>
      <c r="D66" t="s">
        <v>27</v>
      </c>
      <c r="E66" t="s">
        <v>28</v>
      </c>
      <c r="F66" t="s">
        <v>15</v>
      </c>
      <c r="G66">
        <v>89</v>
      </c>
      <c r="H66">
        <v>2</v>
      </c>
      <c r="I66">
        <f t="shared" si="5"/>
        <v>178</v>
      </c>
      <c r="J66" s="4">
        <v>45387</v>
      </c>
      <c r="K66" t="s">
        <v>149</v>
      </c>
      <c r="M66" t="str">
        <f>PROPER(TRIM(B66))</f>
        <v>Patricia Thomas</v>
      </c>
      <c r="N66" t="str">
        <f t="shared" si="0"/>
        <v>Midwest</v>
      </c>
      <c r="O66" t="str">
        <f t="shared" si="1"/>
        <v>San Diego</v>
      </c>
      <c r="P66" t="str">
        <f t="shared" si="2"/>
        <v>CA</v>
      </c>
      <c r="Q66" t="str">
        <f t="shared" si="3"/>
        <v>San Diego, CA</v>
      </c>
      <c r="R66" t="s">
        <v>195</v>
      </c>
      <c r="S66" s="6">
        <v>89</v>
      </c>
      <c r="T66" s="8">
        <v>2</v>
      </c>
      <c r="U66" s="6">
        <f t="shared" si="6"/>
        <v>178</v>
      </c>
      <c r="V66" s="4">
        <v>45387</v>
      </c>
      <c r="W66" t="str">
        <f t="shared" si="4"/>
        <v>customer68@company.com</v>
      </c>
    </row>
    <row r="67" spans="1:23" x14ac:dyDescent="0.35">
      <c r="A67">
        <v>2071</v>
      </c>
      <c r="B67" t="s">
        <v>150</v>
      </c>
      <c r="C67" t="s">
        <v>23</v>
      </c>
      <c r="D67" t="s">
        <v>54</v>
      </c>
      <c r="E67" t="s">
        <v>55</v>
      </c>
      <c r="F67" t="s">
        <v>24</v>
      </c>
      <c r="G67">
        <v>699</v>
      </c>
      <c r="H67">
        <v>1</v>
      </c>
      <c r="I67">
        <f t="shared" si="5"/>
        <v>699</v>
      </c>
      <c r="J67" s="4">
        <v>45388</v>
      </c>
      <c r="K67" t="s">
        <v>151</v>
      </c>
      <c r="M67" t="str">
        <f>PROPER(TRIM(B67))</f>
        <v>Barbara Brown</v>
      </c>
      <c r="N67" t="str">
        <f t="shared" ref="N67:N96" si="7">PROPER(TRIM(C67))</f>
        <v>West</v>
      </c>
      <c r="O67" t="str">
        <f t="shared" ref="O67:O96" si="8">PROPER(TRIM(D67))</f>
        <v>Philadelphia</v>
      </c>
      <c r="P67" t="str">
        <f t="shared" ref="P67:P96" si="9">UPPER(TRIM(E67))</f>
        <v>PA</v>
      </c>
      <c r="Q67" t="str">
        <f t="shared" ref="Q67:Q96" si="10">_xlfn.CONCAT(O67,", ",P67)</f>
        <v>Philadelphia, PA</v>
      </c>
      <c r="R67" t="s">
        <v>197</v>
      </c>
      <c r="S67" s="6">
        <v>699</v>
      </c>
      <c r="T67" s="8">
        <v>1</v>
      </c>
      <c r="U67" s="6">
        <f t="shared" si="6"/>
        <v>699</v>
      </c>
      <c r="V67" s="4">
        <v>45388</v>
      </c>
      <c r="W67" t="str">
        <f t="shared" ref="W67:W96" si="11">TRIM(K67)</f>
        <v>customer69@company.com</v>
      </c>
    </row>
    <row r="68" spans="1:23" x14ac:dyDescent="0.35">
      <c r="A68">
        <v>2072</v>
      </c>
      <c r="B68" t="s">
        <v>152</v>
      </c>
      <c r="C68" t="s">
        <v>37</v>
      </c>
      <c r="D68" t="s">
        <v>58</v>
      </c>
      <c r="E68" t="s">
        <v>59</v>
      </c>
      <c r="F68" t="s">
        <v>15</v>
      </c>
      <c r="G68">
        <v>89</v>
      </c>
      <c r="H68">
        <v>4</v>
      </c>
      <c r="I68">
        <f t="shared" si="5"/>
        <v>356</v>
      </c>
      <c r="J68" s="4">
        <v>45389</v>
      </c>
      <c r="K68" t="s">
        <v>153</v>
      </c>
      <c r="M68" t="str">
        <f>PROPER(TRIM(B68))</f>
        <v>Linda Smith</v>
      </c>
      <c r="N68" t="str">
        <f t="shared" si="7"/>
        <v>Midwest</v>
      </c>
      <c r="O68" t="str">
        <f t="shared" si="8"/>
        <v>New York</v>
      </c>
      <c r="P68" t="str">
        <f t="shared" si="9"/>
        <v>NY</v>
      </c>
      <c r="Q68" t="str">
        <f t="shared" si="10"/>
        <v>New York, NY</v>
      </c>
      <c r="R68" t="s">
        <v>195</v>
      </c>
      <c r="S68" s="6">
        <v>89</v>
      </c>
      <c r="T68" s="8">
        <v>4</v>
      </c>
      <c r="U68" s="6">
        <f t="shared" si="6"/>
        <v>356</v>
      </c>
      <c r="V68" s="4">
        <v>45389</v>
      </c>
      <c r="W68" t="str">
        <f t="shared" si="11"/>
        <v>customer70@company.com</v>
      </c>
    </row>
    <row r="69" spans="1:23" x14ac:dyDescent="0.35">
      <c r="A69">
        <v>2073</v>
      </c>
      <c r="B69" t="s">
        <v>142</v>
      </c>
      <c r="C69" t="s">
        <v>23</v>
      </c>
      <c r="D69" t="s">
        <v>58</v>
      </c>
      <c r="E69" t="s">
        <v>59</v>
      </c>
      <c r="F69" t="s">
        <v>24</v>
      </c>
      <c r="G69">
        <v>699</v>
      </c>
      <c r="H69">
        <v>3</v>
      </c>
      <c r="I69">
        <f t="shared" ref="I69:I96" si="12">G69*H69</f>
        <v>2097</v>
      </c>
      <c r="J69" s="4">
        <v>45390</v>
      </c>
      <c r="K69" t="s">
        <v>154</v>
      </c>
      <c r="M69" t="str">
        <f>PROPER(TRIM(B69))</f>
        <v>John Moore</v>
      </c>
      <c r="N69" t="str">
        <f t="shared" si="7"/>
        <v>West</v>
      </c>
      <c r="O69" t="str">
        <f t="shared" si="8"/>
        <v>New York</v>
      </c>
      <c r="P69" t="str">
        <f t="shared" si="9"/>
        <v>NY</v>
      </c>
      <c r="Q69" t="str">
        <f t="shared" si="10"/>
        <v>New York, NY</v>
      </c>
      <c r="R69" t="s">
        <v>197</v>
      </c>
      <c r="S69" s="6">
        <v>699</v>
      </c>
      <c r="T69" s="8">
        <v>3</v>
      </c>
      <c r="U69" s="6">
        <f t="shared" ref="U69:U96" si="13">S69*T69</f>
        <v>2097</v>
      </c>
      <c r="V69" s="4">
        <v>45390</v>
      </c>
      <c r="W69" t="str">
        <f t="shared" si="11"/>
        <v>customer71@company.com</v>
      </c>
    </row>
    <row r="70" spans="1:23" x14ac:dyDescent="0.35">
      <c r="A70">
        <v>2074</v>
      </c>
      <c r="B70" t="s">
        <v>155</v>
      </c>
      <c r="C70" t="s">
        <v>12</v>
      </c>
      <c r="D70" t="s">
        <v>38</v>
      </c>
      <c r="E70" t="s">
        <v>28</v>
      </c>
      <c r="F70" t="s">
        <v>24</v>
      </c>
      <c r="G70">
        <v>699</v>
      </c>
      <c r="H70">
        <v>2</v>
      </c>
      <c r="I70">
        <f t="shared" si="12"/>
        <v>1398</v>
      </c>
      <c r="J70" s="4">
        <v>45391</v>
      </c>
      <c r="K70" t="s">
        <v>156</v>
      </c>
      <c r="M70" t="str">
        <f>PROPER(TRIM(B70))</f>
        <v>John Davis</v>
      </c>
      <c r="N70" t="str">
        <f t="shared" si="7"/>
        <v>South</v>
      </c>
      <c r="O70" t="str">
        <f t="shared" si="8"/>
        <v>Los Angeles</v>
      </c>
      <c r="P70" t="str">
        <f t="shared" si="9"/>
        <v>CA</v>
      </c>
      <c r="Q70" t="str">
        <f t="shared" si="10"/>
        <v>Los Angeles, CA</v>
      </c>
      <c r="R70" t="s">
        <v>197</v>
      </c>
      <c r="S70" s="6">
        <v>699</v>
      </c>
      <c r="T70" s="8">
        <v>2</v>
      </c>
      <c r="U70" s="6">
        <f t="shared" si="13"/>
        <v>1398</v>
      </c>
      <c r="V70" s="4">
        <v>45391</v>
      </c>
      <c r="W70" t="str">
        <f t="shared" si="11"/>
        <v>customer72@company.com</v>
      </c>
    </row>
    <row r="71" spans="1:23" x14ac:dyDescent="0.35">
      <c r="A71">
        <v>2075</v>
      </c>
      <c r="B71" t="s">
        <v>157</v>
      </c>
      <c r="C71" t="s">
        <v>12</v>
      </c>
      <c r="D71" t="s">
        <v>18</v>
      </c>
      <c r="E71" t="s">
        <v>19</v>
      </c>
      <c r="F71" t="s">
        <v>41</v>
      </c>
      <c r="G71">
        <v>299</v>
      </c>
      <c r="H71">
        <v>5</v>
      </c>
      <c r="I71">
        <f t="shared" si="12"/>
        <v>1495</v>
      </c>
      <c r="J71" s="4">
        <v>45392</v>
      </c>
      <c r="K71" t="s">
        <v>158</v>
      </c>
      <c r="M71" t="str">
        <f>PROPER(TRIM(B71))</f>
        <v>John Anderson</v>
      </c>
      <c r="N71" t="str">
        <f t="shared" si="7"/>
        <v>South</v>
      </c>
      <c r="O71" t="str">
        <f t="shared" si="8"/>
        <v>San Antonio</v>
      </c>
      <c r="P71" t="str">
        <f t="shared" si="9"/>
        <v>TX</v>
      </c>
      <c r="Q71" t="str">
        <f t="shared" si="10"/>
        <v>San Antonio, TX</v>
      </c>
      <c r="R71" t="s">
        <v>199</v>
      </c>
      <c r="S71" s="6">
        <v>299</v>
      </c>
      <c r="T71" s="8">
        <v>5</v>
      </c>
      <c r="U71" s="6">
        <f t="shared" si="13"/>
        <v>1495</v>
      </c>
      <c r="V71" s="4">
        <v>45392</v>
      </c>
      <c r="W71" t="str">
        <f t="shared" si="11"/>
        <v>customer73@company.com</v>
      </c>
    </row>
    <row r="72" spans="1:23" x14ac:dyDescent="0.35">
      <c r="A72">
        <v>2076</v>
      </c>
      <c r="B72" t="s">
        <v>112</v>
      </c>
      <c r="C72" t="s">
        <v>23</v>
      </c>
      <c r="D72" t="s">
        <v>31</v>
      </c>
      <c r="E72" t="s">
        <v>19</v>
      </c>
      <c r="F72" t="s">
        <v>20</v>
      </c>
      <c r="G72">
        <v>899</v>
      </c>
      <c r="H72">
        <v>2</v>
      </c>
      <c r="I72">
        <f t="shared" si="12"/>
        <v>1798</v>
      </c>
      <c r="J72" s="4">
        <v>45393</v>
      </c>
      <c r="K72" t="s">
        <v>159</v>
      </c>
      <c r="M72" t="str">
        <f>PROPER(TRIM(B72))</f>
        <v>Elizabeth Jackson</v>
      </c>
      <c r="N72" t="str">
        <f t="shared" si="7"/>
        <v>West</v>
      </c>
      <c r="O72" t="str">
        <f t="shared" si="8"/>
        <v>Houston</v>
      </c>
      <c r="P72" t="str">
        <f t="shared" si="9"/>
        <v>TX</v>
      </c>
      <c r="Q72" t="str">
        <f t="shared" si="10"/>
        <v>Houston, TX</v>
      </c>
      <c r="R72" t="s">
        <v>196</v>
      </c>
      <c r="S72" s="6">
        <v>899</v>
      </c>
      <c r="T72" s="8">
        <v>2</v>
      </c>
      <c r="U72" s="6">
        <f t="shared" si="13"/>
        <v>1798</v>
      </c>
      <c r="V72" s="4">
        <v>45393</v>
      </c>
      <c r="W72" t="str">
        <f t="shared" si="11"/>
        <v>customer74@company.com</v>
      </c>
    </row>
    <row r="73" spans="1:23" x14ac:dyDescent="0.35">
      <c r="A73">
        <v>2077</v>
      </c>
      <c r="B73" t="s">
        <v>160</v>
      </c>
      <c r="C73" t="s">
        <v>23</v>
      </c>
      <c r="D73" t="s">
        <v>58</v>
      </c>
      <c r="E73" t="s">
        <v>59</v>
      </c>
      <c r="F73" t="s">
        <v>20</v>
      </c>
      <c r="G73">
        <v>899</v>
      </c>
      <c r="H73">
        <v>5</v>
      </c>
      <c r="I73">
        <f t="shared" si="12"/>
        <v>4495</v>
      </c>
      <c r="J73" s="4">
        <v>45394</v>
      </c>
      <c r="K73" t="s">
        <v>161</v>
      </c>
      <c r="M73" t="str">
        <f>PROPER(TRIM(B73))</f>
        <v>Elizabeth Taylor</v>
      </c>
      <c r="N73" t="str">
        <f t="shared" si="7"/>
        <v>West</v>
      </c>
      <c r="O73" t="str">
        <f t="shared" si="8"/>
        <v>New York</v>
      </c>
      <c r="P73" t="str">
        <f t="shared" si="9"/>
        <v>NY</v>
      </c>
      <c r="Q73" t="str">
        <f t="shared" si="10"/>
        <v>New York, NY</v>
      </c>
      <c r="R73" t="s">
        <v>196</v>
      </c>
      <c r="S73" s="6">
        <v>899</v>
      </c>
      <c r="T73" s="8">
        <v>5</v>
      </c>
      <c r="U73" s="6">
        <f t="shared" si="13"/>
        <v>4495</v>
      </c>
      <c r="V73" s="4">
        <v>45394</v>
      </c>
      <c r="W73" t="str">
        <f t="shared" si="11"/>
        <v>customer75@company.com</v>
      </c>
    </row>
    <row r="74" spans="1:23" x14ac:dyDescent="0.35">
      <c r="A74">
        <v>2078</v>
      </c>
      <c r="B74" t="s">
        <v>162</v>
      </c>
      <c r="C74" t="s">
        <v>46</v>
      </c>
      <c r="D74" t="s">
        <v>31</v>
      </c>
      <c r="E74" t="s">
        <v>19</v>
      </c>
      <c r="F74" t="s">
        <v>34</v>
      </c>
      <c r="G74">
        <v>499</v>
      </c>
      <c r="H74">
        <v>3</v>
      </c>
      <c r="I74">
        <f t="shared" si="12"/>
        <v>1497</v>
      </c>
      <c r="J74" s="4">
        <v>45395</v>
      </c>
      <c r="K74" t="s">
        <v>163</v>
      </c>
      <c r="M74" t="str">
        <f>PROPER(TRIM(B74))</f>
        <v>Linda Taylor</v>
      </c>
      <c r="N74" t="str">
        <f t="shared" si="7"/>
        <v>East</v>
      </c>
      <c r="O74" t="str">
        <f t="shared" si="8"/>
        <v>Houston</v>
      </c>
      <c r="P74" t="str">
        <f t="shared" si="9"/>
        <v>TX</v>
      </c>
      <c r="Q74" t="str">
        <f t="shared" si="10"/>
        <v>Houston, TX</v>
      </c>
      <c r="R74" t="s">
        <v>198</v>
      </c>
      <c r="S74" s="6">
        <v>499</v>
      </c>
      <c r="T74" s="8">
        <v>3</v>
      </c>
      <c r="U74" s="6">
        <f t="shared" si="13"/>
        <v>1497</v>
      </c>
      <c r="V74" s="4">
        <v>45395</v>
      </c>
      <c r="W74" t="str">
        <f t="shared" si="11"/>
        <v>customer76@company.com</v>
      </c>
    </row>
    <row r="75" spans="1:23" x14ac:dyDescent="0.35">
      <c r="A75">
        <v>2079</v>
      </c>
      <c r="B75" t="s">
        <v>155</v>
      </c>
      <c r="C75" t="s">
        <v>12</v>
      </c>
      <c r="D75" t="s">
        <v>27</v>
      </c>
      <c r="E75" t="s">
        <v>28</v>
      </c>
      <c r="F75" t="s">
        <v>15</v>
      </c>
      <c r="G75">
        <v>89</v>
      </c>
      <c r="H75">
        <v>5</v>
      </c>
      <c r="I75">
        <f t="shared" si="12"/>
        <v>445</v>
      </c>
      <c r="J75" s="4">
        <v>45396</v>
      </c>
      <c r="K75" t="s">
        <v>164</v>
      </c>
      <c r="M75" t="str">
        <f>PROPER(TRIM(B75))</f>
        <v>John Davis</v>
      </c>
      <c r="N75" t="str">
        <f t="shared" si="7"/>
        <v>South</v>
      </c>
      <c r="O75" t="str">
        <f t="shared" si="8"/>
        <v>San Diego</v>
      </c>
      <c r="P75" t="str">
        <f t="shared" si="9"/>
        <v>CA</v>
      </c>
      <c r="Q75" t="str">
        <f t="shared" si="10"/>
        <v>San Diego, CA</v>
      </c>
      <c r="R75" t="s">
        <v>195</v>
      </c>
      <c r="S75" s="6">
        <v>89</v>
      </c>
      <c r="T75" s="8">
        <v>5</v>
      </c>
      <c r="U75" s="6">
        <f t="shared" si="13"/>
        <v>445</v>
      </c>
      <c r="V75" s="4">
        <v>45396</v>
      </c>
      <c r="W75" t="str">
        <f t="shared" si="11"/>
        <v>customer77@company.com</v>
      </c>
    </row>
    <row r="76" spans="1:23" x14ac:dyDescent="0.35">
      <c r="A76">
        <v>2080</v>
      </c>
      <c r="B76" t="s">
        <v>112</v>
      </c>
      <c r="C76" t="s">
        <v>37</v>
      </c>
      <c r="D76" t="s">
        <v>27</v>
      </c>
      <c r="E76" t="s">
        <v>28</v>
      </c>
      <c r="F76" t="s">
        <v>41</v>
      </c>
      <c r="G76">
        <v>299</v>
      </c>
      <c r="H76">
        <v>5</v>
      </c>
      <c r="I76">
        <f t="shared" si="12"/>
        <v>1495</v>
      </c>
      <c r="J76" s="4">
        <v>45397</v>
      </c>
      <c r="K76" t="s">
        <v>165</v>
      </c>
      <c r="M76" t="str">
        <f>PROPER(TRIM(B76))</f>
        <v>Elizabeth Jackson</v>
      </c>
      <c r="N76" t="str">
        <f t="shared" si="7"/>
        <v>Midwest</v>
      </c>
      <c r="O76" t="str">
        <f t="shared" si="8"/>
        <v>San Diego</v>
      </c>
      <c r="P76" t="str">
        <f t="shared" si="9"/>
        <v>CA</v>
      </c>
      <c r="Q76" t="str">
        <f t="shared" si="10"/>
        <v>San Diego, CA</v>
      </c>
      <c r="R76" t="s">
        <v>199</v>
      </c>
      <c r="S76" s="6">
        <v>299</v>
      </c>
      <c r="T76" s="8">
        <v>5</v>
      </c>
      <c r="U76" s="6">
        <f t="shared" si="13"/>
        <v>1495</v>
      </c>
      <c r="V76" s="4">
        <v>45397</v>
      </c>
      <c r="W76" t="str">
        <f t="shared" si="11"/>
        <v>customer78@company.com</v>
      </c>
    </row>
    <row r="77" spans="1:23" x14ac:dyDescent="0.35">
      <c r="A77">
        <v>2081</v>
      </c>
      <c r="B77" t="s">
        <v>166</v>
      </c>
      <c r="C77" t="s">
        <v>23</v>
      </c>
      <c r="D77" t="s">
        <v>18</v>
      </c>
      <c r="E77" t="s">
        <v>19</v>
      </c>
      <c r="F77" t="s">
        <v>41</v>
      </c>
      <c r="G77">
        <v>299</v>
      </c>
      <c r="H77">
        <v>2</v>
      </c>
      <c r="I77">
        <f t="shared" si="12"/>
        <v>598</v>
      </c>
      <c r="J77" s="4">
        <v>45398</v>
      </c>
      <c r="K77" t="s">
        <v>167</v>
      </c>
      <c r="M77" t="str">
        <f>PROPER(TRIM(B77))</f>
        <v>Barbara Wilson</v>
      </c>
      <c r="N77" t="str">
        <f t="shared" si="7"/>
        <v>West</v>
      </c>
      <c r="O77" t="str">
        <f t="shared" si="8"/>
        <v>San Antonio</v>
      </c>
      <c r="P77" t="str">
        <f t="shared" si="9"/>
        <v>TX</v>
      </c>
      <c r="Q77" t="str">
        <f t="shared" si="10"/>
        <v>San Antonio, TX</v>
      </c>
      <c r="R77" t="s">
        <v>199</v>
      </c>
      <c r="S77" s="6">
        <v>299</v>
      </c>
      <c r="T77" s="8">
        <v>2</v>
      </c>
      <c r="U77" s="6">
        <f t="shared" si="13"/>
        <v>598</v>
      </c>
      <c r="V77" s="4">
        <v>45398</v>
      </c>
      <c r="W77" t="str">
        <f t="shared" si="11"/>
        <v>customer79@company.com</v>
      </c>
    </row>
    <row r="78" spans="1:23" x14ac:dyDescent="0.35">
      <c r="A78">
        <v>2082</v>
      </c>
      <c r="B78" t="s">
        <v>168</v>
      </c>
      <c r="C78" t="s">
        <v>37</v>
      </c>
      <c r="D78" t="s">
        <v>13</v>
      </c>
      <c r="E78" t="s">
        <v>14</v>
      </c>
      <c r="F78" t="s">
        <v>20</v>
      </c>
      <c r="G78">
        <v>899</v>
      </c>
      <c r="H78">
        <v>4</v>
      </c>
      <c r="I78">
        <f t="shared" si="12"/>
        <v>3596</v>
      </c>
      <c r="J78" s="4">
        <v>45399</v>
      </c>
      <c r="K78" t="s">
        <v>169</v>
      </c>
      <c r="M78" t="str">
        <f>PROPER(TRIM(B78))</f>
        <v>William Thomas</v>
      </c>
      <c r="N78" t="str">
        <f t="shared" si="7"/>
        <v>Midwest</v>
      </c>
      <c r="O78" t="str">
        <f t="shared" si="8"/>
        <v>Chicago</v>
      </c>
      <c r="P78" t="str">
        <f t="shared" si="9"/>
        <v>IL</v>
      </c>
      <c r="Q78" t="str">
        <f t="shared" si="10"/>
        <v>Chicago, IL</v>
      </c>
      <c r="R78" t="s">
        <v>196</v>
      </c>
      <c r="S78" s="6">
        <v>899</v>
      </c>
      <c r="T78" s="8">
        <v>4</v>
      </c>
      <c r="U78" s="6">
        <f t="shared" si="13"/>
        <v>3596</v>
      </c>
      <c r="V78" s="4">
        <v>45399</v>
      </c>
      <c r="W78" t="str">
        <f t="shared" si="11"/>
        <v>customer80@company.com</v>
      </c>
    </row>
    <row r="79" spans="1:23" x14ac:dyDescent="0.35">
      <c r="A79">
        <v>2084</v>
      </c>
      <c r="B79" t="s">
        <v>53</v>
      </c>
      <c r="C79" t="s">
        <v>23</v>
      </c>
      <c r="D79" t="s">
        <v>18</v>
      </c>
      <c r="E79" t="s">
        <v>19</v>
      </c>
      <c r="F79" t="s">
        <v>15</v>
      </c>
      <c r="G79">
        <v>89</v>
      </c>
      <c r="H79">
        <v>2</v>
      </c>
      <c r="I79">
        <f t="shared" si="12"/>
        <v>178</v>
      </c>
      <c r="J79" s="4">
        <v>45400</v>
      </c>
      <c r="K79" t="s">
        <v>170</v>
      </c>
      <c r="M79" t="str">
        <f>PROPER(TRIM(B79))</f>
        <v>Barbara Thomas</v>
      </c>
      <c r="N79" t="str">
        <f t="shared" si="7"/>
        <v>West</v>
      </c>
      <c r="O79" t="str">
        <f t="shared" si="8"/>
        <v>San Antonio</v>
      </c>
      <c r="P79" t="str">
        <f t="shared" si="9"/>
        <v>TX</v>
      </c>
      <c r="Q79" t="str">
        <f t="shared" si="10"/>
        <v>San Antonio, TX</v>
      </c>
      <c r="R79" t="s">
        <v>195</v>
      </c>
      <c r="S79" s="6">
        <v>89</v>
      </c>
      <c r="T79" s="8">
        <v>2</v>
      </c>
      <c r="U79" s="6">
        <f t="shared" si="13"/>
        <v>178</v>
      </c>
      <c r="V79" s="4">
        <v>45400</v>
      </c>
      <c r="W79" t="str">
        <f t="shared" si="11"/>
        <v>customer82@company.com</v>
      </c>
    </row>
    <row r="80" spans="1:23" x14ac:dyDescent="0.35">
      <c r="A80">
        <v>2085</v>
      </c>
      <c r="B80" t="s">
        <v>67</v>
      </c>
      <c r="C80" t="s">
        <v>12</v>
      </c>
      <c r="D80" t="s">
        <v>18</v>
      </c>
      <c r="E80" t="s">
        <v>19</v>
      </c>
      <c r="F80" t="s">
        <v>34</v>
      </c>
      <c r="G80">
        <v>499</v>
      </c>
      <c r="H80">
        <v>3</v>
      </c>
      <c r="I80">
        <f t="shared" si="12"/>
        <v>1497</v>
      </c>
      <c r="J80" s="4">
        <v>45401</v>
      </c>
      <c r="K80" t="s">
        <v>171</v>
      </c>
      <c r="M80" t="str">
        <f>PROPER(TRIM(B80))</f>
        <v>Michael Moore</v>
      </c>
      <c r="N80" t="str">
        <f t="shared" si="7"/>
        <v>South</v>
      </c>
      <c r="O80" t="str">
        <f t="shared" si="8"/>
        <v>San Antonio</v>
      </c>
      <c r="P80" t="str">
        <f t="shared" si="9"/>
        <v>TX</v>
      </c>
      <c r="Q80" t="str">
        <f t="shared" si="10"/>
        <v>San Antonio, TX</v>
      </c>
      <c r="R80" t="s">
        <v>198</v>
      </c>
      <c r="S80" s="6">
        <v>499</v>
      </c>
      <c r="T80" s="8">
        <v>3</v>
      </c>
      <c r="U80" s="6">
        <f t="shared" si="13"/>
        <v>1497</v>
      </c>
      <c r="V80" s="4">
        <v>45401</v>
      </c>
      <c r="W80" t="str">
        <f t="shared" si="11"/>
        <v>customer83@company.com</v>
      </c>
    </row>
    <row r="81" spans="1:23" x14ac:dyDescent="0.35">
      <c r="A81">
        <v>2086</v>
      </c>
      <c r="B81" t="s">
        <v>105</v>
      </c>
      <c r="C81" t="s">
        <v>46</v>
      </c>
      <c r="D81" t="s">
        <v>27</v>
      </c>
      <c r="E81" t="s">
        <v>28</v>
      </c>
      <c r="F81" t="s">
        <v>34</v>
      </c>
      <c r="G81">
        <v>499</v>
      </c>
      <c r="H81">
        <v>4</v>
      </c>
      <c r="I81">
        <f t="shared" si="12"/>
        <v>1996</v>
      </c>
      <c r="J81" s="4">
        <v>45402</v>
      </c>
      <c r="K81" t="s">
        <v>172</v>
      </c>
      <c r="M81" t="str">
        <f>PROPER(TRIM(B81))</f>
        <v>Linda Wilson</v>
      </c>
      <c r="N81" t="str">
        <f t="shared" si="7"/>
        <v>East</v>
      </c>
      <c r="O81" t="str">
        <f t="shared" si="8"/>
        <v>San Diego</v>
      </c>
      <c r="P81" t="str">
        <f t="shared" si="9"/>
        <v>CA</v>
      </c>
      <c r="Q81" t="str">
        <f t="shared" si="10"/>
        <v>San Diego, CA</v>
      </c>
      <c r="R81" t="s">
        <v>198</v>
      </c>
      <c r="S81" s="6">
        <v>499</v>
      </c>
      <c r="T81" s="8">
        <v>4</v>
      </c>
      <c r="U81" s="6">
        <f t="shared" si="13"/>
        <v>1996</v>
      </c>
      <c r="V81" s="4">
        <v>45402</v>
      </c>
      <c r="W81" t="str">
        <f t="shared" si="11"/>
        <v>customer84@company.com</v>
      </c>
    </row>
    <row r="82" spans="1:23" x14ac:dyDescent="0.35">
      <c r="A82">
        <v>2087</v>
      </c>
      <c r="B82" t="s">
        <v>152</v>
      </c>
      <c r="C82" t="s">
        <v>37</v>
      </c>
      <c r="D82" t="s">
        <v>38</v>
      </c>
      <c r="E82" t="s">
        <v>28</v>
      </c>
      <c r="F82" t="s">
        <v>34</v>
      </c>
      <c r="G82">
        <v>499</v>
      </c>
      <c r="H82">
        <v>3</v>
      </c>
      <c r="I82">
        <f t="shared" si="12"/>
        <v>1497</v>
      </c>
      <c r="J82" s="4">
        <v>45403</v>
      </c>
      <c r="K82" t="s">
        <v>173</v>
      </c>
      <c r="M82" t="str">
        <f>PROPER(TRIM(B82))</f>
        <v>Linda Smith</v>
      </c>
      <c r="N82" t="str">
        <f t="shared" si="7"/>
        <v>Midwest</v>
      </c>
      <c r="O82" t="str">
        <f t="shared" si="8"/>
        <v>Los Angeles</v>
      </c>
      <c r="P82" t="str">
        <f t="shared" si="9"/>
        <v>CA</v>
      </c>
      <c r="Q82" t="str">
        <f t="shared" si="10"/>
        <v>Los Angeles, CA</v>
      </c>
      <c r="R82" t="s">
        <v>198</v>
      </c>
      <c r="S82" s="6">
        <v>499</v>
      </c>
      <c r="T82" s="8">
        <v>3</v>
      </c>
      <c r="U82" s="6">
        <f t="shared" si="13"/>
        <v>1497</v>
      </c>
      <c r="V82" s="4">
        <v>45403</v>
      </c>
      <c r="W82" t="str">
        <f t="shared" si="11"/>
        <v>customer85@company.com</v>
      </c>
    </row>
    <row r="83" spans="1:23" x14ac:dyDescent="0.35">
      <c r="A83">
        <v>2088</v>
      </c>
      <c r="B83" t="s">
        <v>49</v>
      </c>
      <c r="C83" t="s">
        <v>12</v>
      </c>
      <c r="D83" t="s">
        <v>54</v>
      </c>
      <c r="E83" t="s">
        <v>55</v>
      </c>
      <c r="F83" t="s">
        <v>20</v>
      </c>
      <c r="G83">
        <v>899</v>
      </c>
      <c r="H83">
        <v>1</v>
      </c>
      <c r="I83">
        <f t="shared" si="12"/>
        <v>899</v>
      </c>
      <c r="J83" s="4">
        <v>45404</v>
      </c>
      <c r="K83" t="s">
        <v>174</v>
      </c>
      <c r="M83" t="str">
        <f>PROPER(TRIM(B83))</f>
        <v>Elizabeth Moore</v>
      </c>
      <c r="N83" t="str">
        <f t="shared" si="7"/>
        <v>South</v>
      </c>
      <c r="O83" t="str">
        <f t="shared" si="8"/>
        <v>Philadelphia</v>
      </c>
      <c r="P83" t="str">
        <f t="shared" si="9"/>
        <v>PA</v>
      </c>
      <c r="Q83" t="str">
        <f t="shared" si="10"/>
        <v>Philadelphia, PA</v>
      </c>
      <c r="R83" t="s">
        <v>196</v>
      </c>
      <c r="S83" s="6">
        <v>899</v>
      </c>
      <c r="T83" s="8">
        <v>1</v>
      </c>
      <c r="U83" s="6">
        <f t="shared" si="13"/>
        <v>899</v>
      </c>
      <c r="V83" s="4">
        <v>45404</v>
      </c>
      <c r="W83" t="str">
        <f t="shared" si="11"/>
        <v>customer86@company.com</v>
      </c>
    </row>
    <row r="84" spans="1:23" x14ac:dyDescent="0.35">
      <c r="A84">
        <v>2089</v>
      </c>
      <c r="B84" t="s">
        <v>166</v>
      </c>
      <c r="C84" t="s">
        <v>23</v>
      </c>
      <c r="D84" t="s">
        <v>62</v>
      </c>
      <c r="E84" t="s">
        <v>63</v>
      </c>
      <c r="F84" t="s">
        <v>20</v>
      </c>
      <c r="G84">
        <v>899</v>
      </c>
      <c r="H84">
        <v>4</v>
      </c>
      <c r="I84">
        <f t="shared" si="12"/>
        <v>3596</v>
      </c>
      <c r="J84" s="4">
        <v>45405</v>
      </c>
      <c r="K84" t="s">
        <v>175</v>
      </c>
      <c r="M84" t="str">
        <f>PROPER(TRIM(B84))</f>
        <v>Barbara Wilson</v>
      </c>
      <c r="N84" t="str">
        <f t="shared" si="7"/>
        <v>West</v>
      </c>
      <c r="O84" t="str">
        <f t="shared" si="8"/>
        <v>Phoenix</v>
      </c>
      <c r="P84" t="str">
        <f t="shared" si="9"/>
        <v>AZ</v>
      </c>
      <c r="Q84" t="str">
        <f t="shared" si="10"/>
        <v>Phoenix, AZ</v>
      </c>
      <c r="R84" t="s">
        <v>196</v>
      </c>
      <c r="S84" s="6">
        <v>899</v>
      </c>
      <c r="T84" s="8">
        <v>4</v>
      </c>
      <c r="U84" s="6">
        <f t="shared" si="13"/>
        <v>3596</v>
      </c>
      <c r="V84" s="4">
        <v>45405</v>
      </c>
      <c r="W84" t="str">
        <f t="shared" si="11"/>
        <v>customer87@company.com</v>
      </c>
    </row>
    <row r="85" spans="1:23" x14ac:dyDescent="0.35">
      <c r="A85">
        <v>2090</v>
      </c>
      <c r="B85" t="s">
        <v>77</v>
      </c>
      <c r="C85" t="s">
        <v>23</v>
      </c>
      <c r="D85" t="s">
        <v>31</v>
      </c>
      <c r="E85" t="s">
        <v>19</v>
      </c>
      <c r="F85" t="s">
        <v>20</v>
      </c>
      <c r="G85">
        <v>899</v>
      </c>
      <c r="H85">
        <v>5</v>
      </c>
      <c r="I85">
        <f t="shared" si="12"/>
        <v>4495</v>
      </c>
      <c r="J85" s="4">
        <v>45406</v>
      </c>
      <c r="K85" t="s">
        <v>176</v>
      </c>
      <c r="M85" t="str">
        <f>PROPER(TRIM(B85))</f>
        <v>Linda Moore</v>
      </c>
      <c r="N85" t="str">
        <f t="shared" si="7"/>
        <v>West</v>
      </c>
      <c r="O85" t="str">
        <f t="shared" si="8"/>
        <v>Houston</v>
      </c>
      <c r="P85" t="str">
        <f t="shared" si="9"/>
        <v>TX</v>
      </c>
      <c r="Q85" t="str">
        <f t="shared" si="10"/>
        <v>Houston, TX</v>
      </c>
      <c r="R85" t="s">
        <v>196</v>
      </c>
      <c r="S85" s="6">
        <v>899</v>
      </c>
      <c r="T85" s="8">
        <v>5</v>
      </c>
      <c r="U85" s="6">
        <f t="shared" si="13"/>
        <v>4495</v>
      </c>
      <c r="V85" s="4">
        <v>45406</v>
      </c>
      <c r="W85" t="str">
        <f t="shared" si="11"/>
        <v>customer88@company.com</v>
      </c>
    </row>
    <row r="86" spans="1:23" x14ac:dyDescent="0.35">
      <c r="A86">
        <v>2091</v>
      </c>
      <c r="B86" t="s">
        <v>177</v>
      </c>
      <c r="C86" t="s">
        <v>37</v>
      </c>
      <c r="D86" t="s">
        <v>38</v>
      </c>
      <c r="E86" t="s">
        <v>28</v>
      </c>
      <c r="F86" t="s">
        <v>34</v>
      </c>
      <c r="G86">
        <v>499</v>
      </c>
      <c r="H86">
        <v>1</v>
      </c>
      <c r="I86">
        <f t="shared" si="12"/>
        <v>499</v>
      </c>
      <c r="J86" s="4">
        <v>45407</v>
      </c>
      <c r="K86" t="s">
        <v>178</v>
      </c>
      <c r="M86" t="str">
        <f>PROPER(TRIM(B86))</f>
        <v>Mary Smith</v>
      </c>
      <c r="N86" t="str">
        <f t="shared" si="7"/>
        <v>Midwest</v>
      </c>
      <c r="O86" t="str">
        <f t="shared" si="8"/>
        <v>Los Angeles</v>
      </c>
      <c r="P86" t="str">
        <f t="shared" si="9"/>
        <v>CA</v>
      </c>
      <c r="Q86" t="str">
        <f t="shared" si="10"/>
        <v>Los Angeles, CA</v>
      </c>
      <c r="R86" t="s">
        <v>198</v>
      </c>
      <c r="S86" s="6">
        <v>499</v>
      </c>
      <c r="T86" s="8">
        <v>1</v>
      </c>
      <c r="U86" s="6">
        <f t="shared" si="13"/>
        <v>499</v>
      </c>
      <c r="V86" s="4">
        <v>45407</v>
      </c>
      <c r="W86" t="str">
        <f t="shared" si="11"/>
        <v>customer89@company.com</v>
      </c>
    </row>
    <row r="87" spans="1:23" x14ac:dyDescent="0.35">
      <c r="A87">
        <v>2092</v>
      </c>
      <c r="B87" t="s">
        <v>179</v>
      </c>
      <c r="C87" t="s">
        <v>37</v>
      </c>
      <c r="D87" t="s">
        <v>13</v>
      </c>
      <c r="E87" t="s">
        <v>14</v>
      </c>
      <c r="F87" t="s">
        <v>24</v>
      </c>
      <c r="G87">
        <v>699</v>
      </c>
      <c r="H87">
        <v>4</v>
      </c>
      <c r="I87">
        <f t="shared" si="12"/>
        <v>2796</v>
      </c>
      <c r="J87" s="4">
        <v>45408</v>
      </c>
      <c r="K87" t="s">
        <v>180</v>
      </c>
      <c r="M87" t="str">
        <f>PROPER(TRIM(B87))</f>
        <v>John Brown</v>
      </c>
      <c r="N87" t="str">
        <f t="shared" si="7"/>
        <v>Midwest</v>
      </c>
      <c r="O87" t="str">
        <f t="shared" si="8"/>
        <v>Chicago</v>
      </c>
      <c r="P87" t="str">
        <f t="shared" si="9"/>
        <v>IL</v>
      </c>
      <c r="Q87" t="str">
        <f t="shared" si="10"/>
        <v>Chicago, IL</v>
      </c>
      <c r="R87" t="s">
        <v>197</v>
      </c>
      <c r="S87" s="6">
        <v>699</v>
      </c>
      <c r="T87" s="8">
        <v>4</v>
      </c>
      <c r="U87" s="6">
        <f t="shared" si="13"/>
        <v>2796</v>
      </c>
      <c r="V87" s="4">
        <v>45408</v>
      </c>
      <c r="W87" t="str">
        <f t="shared" si="11"/>
        <v>customer90@company.com</v>
      </c>
    </row>
    <row r="88" spans="1:23" x14ac:dyDescent="0.35">
      <c r="A88">
        <v>2093</v>
      </c>
      <c r="B88" t="s">
        <v>181</v>
      </c>
      <c r="C88" t="s">
        <v>23</v>
      </c>
      <c r="D88" t="s">
        <v>31</v>
      </c>
      <c r="E88" t="s">
        <v>19</v>
      </c>
      <c r="F88" t="s">
        <v>20</v>
      </c>
      <c r="G88">
        <v>899</v>
      </c>
      <c r="H88">
        <v>1</v>
      </c>
      <c r="I88">
        <f t="shared" si="12"/>
        <v>899</v>
      </c>
      <c r="J88" s="4">
        <v>45409</v>
      </c>
      <c r="K88" t="s">
        <v>182</v>
      </c>
      <c r="M88" t="str">
        <f>PROPER(TRIM(B88))</f>
        <v>James Davis</v>
      </c>
      <c r="N88" t="str">
        <f t="shared" si="7"/>
        <v>West</v>
      </c>
      <c r="O88" t="str">
        <f t="shared" si="8"/>
        <v>Houston</v>
      </c>
      <c r="P88" t="str">
        <f t="shared" si="9"/>
        <v>TX</v>
      </c>
      <c r="Q88" t="str">
        <f t="shared" si="10"/>
        <v>Houston, TX</v>
      </c>
      <c r="R88" t="s">
        <v>196</v>
      </c>
      <c r="S88" s="6">
        <v>899</v>
      </c>
      <c r="T88" s="8">
        <v>1</v>
      </c>
      <c r="U88" s="6">
        <f t="shared" si="13"/>
        <v>899</v>
      </c>
      <c r="V88" s="4">
        <v>45409</v>
      </c>
      <c r="W88" t="str">
        <f t="shared" si="11"/>
        <v>customer91@company.com</v>
      </c>
    </row>
    <row r="89" spans="1:23" x14ac:dyDescent="0.35">
      <c r="A89">
        <v>2094</v>
      </c>
      <c r="B89" t="s">
        <v>183</v>
      </c>
      <c r="C89" t="s">
        <v>12</v>
      </c>
      <c r="D89" t="s">
        <v>54</v>
      </c>
      <c r="E89" t="s">
        <v>55</v>
      </c>
      <c r="F89" t="s">
        <v>20</v>
      </c>
      <c r="G89">
        <v>899</v>
      </c>
      <c r="H89">
        <v>5</v>
      </c>
      <c r="I89">
        <f t="shared" si="12"/>
        <v>4495</v>
      </c>
      <c r="J89" s="4">
        <v>45410</v>
      </c>
      <c r="K89" t="s">
        <v>184</v>
      </c>
      <c r="M89" t="str">
        <f>PROPER(TRIM(B89))</f>
        <v>Linda Thomas</v>
      </c>
      <c r="N89" t="str">
        <f t="shared" si="7"/>
        <v>South</v>
      </c>
      <c r="O89" t="str">
        <f t="shared" si="8"/>
        <v>Philadelphia</v>
      </c>
      <c r="P89" t="str">
        <f t="shared" si="9"/>
        <v>PA</v>
      </c>
      <c r="Q89" t="str">
        <f t="shared" si="10"/>
        <v>Philadelphia, PA</v>
      </c>
      <c r="R89" t="s">
        <v>196</v>
      </c>
      <c r="S89" s="6">
        <v>899</v>
      </c>
      <c r="T89" s="8">
        <v>5</v>
      </c>
      <c r="U89" s="6">
        <f t="shared" si="13"/>
        <v>4495</v>
      </c>
      <c r="V89" s="4">
        <v>45410</v>
      </c>
      <c r="W89" t="str">
        <f t="shared" si="11"/>
        <v>customer92@company.com</v>
      </c>
    </row>
    <row r="90" spans="1:23" x14ac:dyDescent="0.35">
      <c r="A90">
        <v>2095</v>
      </c>
      <c r="B90" t="s">
        <v>129</v>
      </c>
      <c r="C90" t="s">
        <v>12</v>
      </c>
      <c r="D90" t="s">
        <v>13</v>
      </c>
      <c r="E90" t="s">
        <v>14</v>
      </c>
      <c r="F90" t="s">
        <v>20</v>
      </c>
      <c r="G90">
        <v>899</v>
      </c>
      <c r="H90">
        <v>3</v>
      </c>
      <c r="I90">
        <f t="shared" si="12"/>
        <v>2697</v>
      </c>
      <c r="J90" s="4">
        <v>45411</v>
      </c>
      <c r="K90" t="s">
        <v>185</v>
      </c>
      <c r="M90" t="str">
        <f>PROPER(TRIM(B90))</f>
        <v>Patricia Wilson</v>
      </c>
      <c r="N90" t="str">
        <f t="shared" si="7"/>
        <v>South</v>
      </c>
      <c r="O90" t="str">
        <f t="shared" si="8"/>
        <v>Chicago</v>
      </c>
      <c r="P90" t="str">
        <f t="shared" si="9"/>
        <v>IL</v>
      </c>
      <c r="Q90" t="str">
        <f t="shared" si="10"/>
        <v>Chicago, IL</v>
      </c>
      <c r="R90" t="s">
        <v>196</v>
      </c>
      <c r="S90" s="6">
        <v>899</v>
      </c>
      <c r="T90" s="8">
        <v>3</v>
      </c>
      <c r="U90" s="6">
        <f t="shared" si="13"/>
        <v>2697</v>
      </c>
      <c r="V90" s="4">
        <v>45411</v>
      </c>
      <c r="W90" t="str">
        <f t="shared" si="11"/>
        <v>customer93@company.com</v>
      </c>
    </row>
    <row r="91" spans="1:23" x14ac:dyDescent="0.35">
      <c r="A91">
        <v>2096</v>
      </c>
      <c r="B91" t="s">
        <v>26</v>
      </c>
      <c r="C91" t="s">
        <v>23</v>
      </c>
      <c r="D91" t="s">
        <v>58</v>
      </c>
      <c r="E91" t="s">
        <v>59</v>
      </c>
      <c r="F91" t="s">
        <v>24</v>
      </c>
      <c r="G91">
        <v>699</v>
      </c>
      <c r="H91">
        <v>1</v>
      </c>
      <c r="I91">
        <f t="shared" si="12"/>
        <v>699</v>
      </c>
      <c r="J91" s="4">
        <v>45412</v>
      </c>
      <c r="K91" t="s">
        <v>186</v>
      </c>
      <c r="M91" t="str">
        <f>PROPER(TRIM(B91))</f>
        <v>Michael Thomas</v>
      </c>
      <c r="N91" t="str">
        <f t="shared" si="7"/>
        <v>West</v>
      </c>
      <c r="O91" t="str">
        <f t="shared" si="8"/>
        <v>New York</v>
      </c>
      <c r="P91" t="str">
        <f t="shared" si="9"/>
        <v>NY</v>
      </c>
      <c r="Q91" t="str">
        <f t="shared" si="10"/>
        <v>New York, NY</v>
      </c>
      <c r="R91" t="s">
        <v>197</v>
      </c>
      <c r="S91" s="6">
        <v>699</v>
      </c>
      <c r="T91" s="8">
        <v>1</v>
      </c>
      <c r="U91" s="6">
        <f t="shared" si="13"/>
        <v>699</v>
      </c>
      <c r="V91" s="4">
        <v>45412</v>
      </c>
      <c r="W91" t="str">
        <f t="shared" si="11"/>
        <v>customer94@company.com</v>
      </c>
    </row>
    <row r="92" spans="1:23" x14ac:dyDescent="0.35">
      <c r="A92">
        <v>2098</v>
      </c>
      <c r="B92" t="s">
        <v>142</v>
      </c>
      <c r="C92" t="s">
        <v>37</v>
      </c>
      <c r="D92" t="s">
        <v>62</v>
      </c>
      <c r="E92" t="s">
        <v>63</v>
      </c>
      <c r="F92" t="s">
        <v>15</v>
      </c>
      <c r="G92">
        <v>89</v>
      </c>
      <c r="H92">
        <v>4</v>
      </c>
      <c r="I92">
        <f t="shared" si="12"/>
        <v>356</v>
      </c>
      <c r="J92" s="4">
        <v>45413</v>
      </c>
      <c r="K92" t="s">
        <v>187</v>
      </c>
      <c r="M92" t="str">
        <f>PROPER(TRIM(B92))</f>
        <v>John Moore</v>
      </c>
      <c r="N92" t="str">
        <f t="shared" si="7"/>
        <v>Midwest</v>
      </c>
      <c r="O92" t="str">
        <f t="shared" si="8"/>
        <v>Phoenix</v>
      </c>
      <c r="P92" t="str">
        <f t="shared" si="9"/>
        <v>AZ</v>
      </c>
      <c r="Q92" t="str">
        <f t="shared" si="10"/>
        <v>Phoenix, AZ</v>
      </c>
      <c r="R92" t="s">
        <v>195</v>
      </c>
      <c r="S92" s="6">
        <v>89</v>
      </c>
      <c r="T92" s="8">
        <v>4</v>
      </c>
      <c r="U92" s="6">
        <f t="shared" si="13"/>
        <v>356</v>
      </c>
      <c r="V92" s="4">
        <v>45413</v>
      </c>
      <c r="W92" t="str">
        <f t="shared" si="11"/>
        <v>customer96@company.com</v>
      </c>
    </row>
    <row r="93" spans="1:23" x14ac:dyDescent="0.35">
      <c r="A93">
        <v>2099</v>
      </c>
      <c r="B93" t="s">
        <v>188</v>
      </c>
      <c r="C93" t="s">
        <v>37</v>
      </c>
      <c r="D93" t="s">
        <v>58</v>
      </c>
      <c r="E93" t="s">
        <v>59</v>
      </c>
      <c r="F93" t="s">
        <v>41</v>
      </c>
      <c r="G93">
        <v>299</v>
      </c>
      <c r="H93">
        <v>3</v>
      </c>
      <c r="I93">
        <f t="shared" si="12"/>
        <v>897</v>
      </c>
      <c r="J93" s="4">
        <v>45414</v>
      </c>
      <c r="K93" t="s">
        <v>189</v>
      </c>
      <c r="M93" t="str">
        <f>PROPER(TRIM(B93))</f>
        <v>Mary Thomas</v>
      </c>
      <c r="N93" t="str">
        <f t="shared" si="7"/>
        <v>Midwest</v>
      </c>
      <c r="O93" t="str">
        <f t="shared" si="8"/>
        <v>New York</v>
      </c>
      <c r="P93" t="str">
        <f t="shared" si="9"/>
        <v>NY</v>
      </c>
      <c r="Q93" t="str">
        <f t="shared" si="10"/>
        <v>New York, NY</v>
      </c>
      <c r="R93" t="s">
        <v>199</v>
      </c>
      <c r="S93" s="6">
        <v>299</v>
      </c>
      <c r="T93" s="8">
        <v>3</v>
      </c>
      <c r="U93" s="6">
        <f t="shared" si="13"/>
        <v>897</v>
      </c>
      <c r="V93" s="4">
        <v>45414</v>
      </c>
      <c r="W93" t="str">
        <f t="shared" si="11"/>
        <v>customer97@company.com</v>
      </c>
    </row>
    <row r="94" spans="1:23" x14ac:dyDescent="0.35">
      <c r="A94">
        <v>2100</v>
      </c>
      <c r="B94" t="s">
        <v>190</v>
      </c>
      <c r="C94" t="s">
        <v>23</v>
      </c>
      <c r="D94" t="s">
        <v>18</v>
      </c>
      <c r="E94" t="s">
        <v>19</v>
      </c>
      <c r="F94" t="s">
        <v>24</v>
      </c>
      <c r="G94">
        <v>699</v>
      </c>
      <c r="H94">
        <v>2</v>
      </c>
      <c r="I94">
        <f t="shared" si="12"/>
        <v>1398</v>
      </c>
      <c r="J94" s="4">
        <v>45415</v>
      </c>
      <c r="K94" t="s">
        <v>191</v>
      </c>
      <c r="M94" t="str">
        <f>PROPER(TRIM(B94))</f>
        <v>William Jackson</v>
      </c>
      <c r="N94" t="str">
        <f t="shared" si="7"/>
        <v>West</v>
      </c>
      <c r="O94" t="str">
        <f t="shared" si="8"/>
        <v>San Antonio</v>
      </c>
      <c r="P94" t="str">
        <f t="shared" si="9"/>
        <v>TX</v>
      </c>
      <c r="Q94" t="str">
        <f t="shared" si="10"/>
        <v>San Antonio, TX</v>
      </c>
      <c r="R94" t="s">
        <v>197</v>
      </c>
      <c r="S94" s="6">
        <v>699</v>
      </c>
      <c r="T94" s="8">
        <v>2</v>
      </c>
      <c r="U94" s="6">
        <f t="shared" si="13"/>
        <v>1398</v>
      </c>
      <c r="V94" s="4">
        <v>45415</v>
      </c>
      <c r="W94" t="str">
        <f t="shared" si="11"/>
        <v>customer98@company.com</v>
      </c>
    </row>
    <row r="95" spans="1:23" x14ac:dyDescent="0.35">
      <c r="A95">
        <v>2101</v>
      </c>
      <c r="B95" t="s">
        <v>138</v>
      </c>
      <c r="C95" t="s">
        <v>23</v>
      </c>
      <c r="D95" t="s">
        <v>13</v>
      </c>
      <c r="E95" t="s">
        <v>14</v>
      </c>
      <c r="F95" t="s">
        <v>34</v>
      </c>
      <c r="G95">
        <v>499</v>
      </c>
      <c r="H95">
        <v>5</v>
      </c>
      <c r="I95">
        <f t="shared" si="12"/>
        <v>2495</v>
      </c>
      <c r="J95" s="4">
        <v>45416</v>
      </c>
      <c r="K95" t="s">
        <v>192</v>
      </c>
      <c r="M95" t="str">
        <f>PROPER(TRIM(B95))</f>
        <v>Robert Moore</v>
      </c>
      <c r="N95" t="str">
        <f t="shared" si="7"/>
        <v>West</v>
      </c>
      <c r="O95" t="str">
        <f t="shared" si="8"/>
        <v>Chicago</v>
      </c>
      <c r="P95" t="str">
        <f t="shared" si="9"/>
        <v>IL</v>
      </c>
      <c r="Q95" t="str">
        <f t="shared" si="10"/>
        <v>Chicago, IL</v>
      </c>
      <c r="R95" t="s">
        <v>198</v>
      </c>
      <c r="S95" s="6">
        <v>499</v>
      </c>
      <c r="T95" s="8">
        <v>5</v>
      </c>
      <c r="U95" s="6">
        <f t="shared" si="13"/>
        <v>2495</v>
      </c>
      <c r="V95" s="4">
        <v>45416</v>
      </c>
      <c r="W95" t="str">
        <f t="shared" si="11"/>
        <v>customer99@company.com</v>
      </c>
    </row>
    <row r="96" spans="1:23" x14ac:dyDescent="0.35">
      <c r="A96">
        <v>2102</v>
      </c>
      <c r="B96" t="s">
        <v>57</v>
      </c>
      <c r="C96" t="s">
        <v>12</v>
      </c>
      <c r="D96" t="s">
        <v>38</v>
      </c>
      <c r="E96" t="s">
        <v>28</v>
      </c>
      <c r="F96" t="s">
        <v>41</v>
      </c>
      <c r="G96">
        <v>299</v>
      </c>
      <c r="H96">
        <v>1</v>
      </c>
      <c r="I96">
        <f t="shared" si="12"/>
        <v>299</v>
      </c>
      <c r="J96" s="4">
        <v>45417</v>
      </c>
      <c r="K96" t="s">
        <v>193</v>
      </c>
      <c r="M96" t="str">
        <f>PROPER(TRIM(B96))</f>
        <v>Patricia Johnson</v>
      </c>
      <c r="N96" t="str">
        <f t="shared" si="7"/>
        <v>South</v>
      </c>
      <c r="O96" t="str">
        <f t="shared" si="8"/>
        <v>Los Angeles</v>
      </c>
      <c r="P96" t="str">
        <f t="shared" si="9"/>
        <v>CA</v>
      </c>
      <c r="Q96" t="str">
        <f t="shared" si="10"/>
        <v>Los Angeles, CA</v>
      </c>
      <c r="R96" t="s">
        <v>199</v>
      </c>
      <c r="S96" s="6">
        <v>299</v>
      </c>
      <c r="T96" s="8">
        <v>1</v>
      </c>
      <c r="U96" s="6">
        <f t="shared" si="13"/>
        <v>299</v>
      </c>
      <c r="V96" s="4">
        <v>45417</v>
      </c>
      <c r="W96" t="str">
        <f t="shared" si="11"/>
        <v>customer100@company.com</v>
      </c>
    </row>
  </sheetData>
  <phoneticPr fontId="3" type="noConversion"/>
  <conditionalFormatting sqref="A1:A96 A102:A1048576">
    <cfRule type="duplicateValues" dxfId="3" priority="3"/>
  </conditionalFormatting>
  <conditionalFormatting sqref="U102:U1048576 U1:U96">
    <cfRule type="cellIs" dxfId="0" priority="1" operator="greaterThan">
      <formula>1000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E08C6C-9536-455A-B753-091B52E4B752}">
  <dimension ref="A3:B9"/>
  <sheetViews>
    <sheetView workbookViewId="0">
      <selection activeCell="I22" sqref="I22"/>
    </sheetView>
  </sheetViews>
  <sheetFormatPr defaultRowHeight="14.5" x14ac:dyDescent="0.35"/>
  <cols>
    <col min="1" max="1" width="12.36328125" bestFit="1" customWidth="1"/>
    <col min="2" max="2" width="15.6328125" bestFit="1" customWidth="1"/>
  </cols>
  <sheetData>
    <row r="3" spans="1:2" x14ac:dyDescent="0.35">
      <c r="A3" s="9" t="s">
        <v>207</v>
      </c>
      <c r="B3" t="s">
        <v>203</v>
      </c>
    </row>
    <row r="4" spans="1:2" x14ac:dyDescent="0.35">
      <c r="A4" s="10" t="s">
        <v>195</v>
      </c>
      <c r="B4" s="11">
        <v>6319</v>
      </c>
    </row>
    <row r="5" spans="1:2" x14ac:dyDescent="0.35">
      <c r="A5" s="10" t="s">
        <v>196</v>
      </c>
      <c r="B5" s="11">
        <v>73718</v>
      </c>
    </row>
    <row r="6" spans="1:2" x14ac:dyDescent="0.35">
      <c r="A6" s="10" t="s">
        <v>199</v>
      </c>
      <c r="B6" s="11">
        <v>14950</v>
      </c>
    </row>
    <row r="7" spans="1:2" x14ac:dyDescent="0.35">
      <c r="A7" s="10" t="s">
        <v>197</v>
      </c>
      <c r="B7" s="11">
        <v>34950</v>
      </c>
    </row>
    <row r="8" spans="1:2" x14ac:dyDescent="0.35">
      <c r="A8" s="10" t="s">
        <v>198</v>
      </c>
      <c r="B8" s="11">
        <v>30439</v>
      </c>
    </row>
    <row r="9" spans="1:2" x14ac:dyDescent="0.35">
      <c r="A9" s="10" t="s">
        <v>202</v>
      </c>
      <c r="B9" s="11">
        <v>160376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A30E0C-6255-455E-B9E0-BE5FCFE6C293}">
  <dimension ref="A3:C13"/>
  <sheetViews>
    <sheetView workbookViewId="0">
      <selection activeCell="B18" sqref="B18"/>
    </sheetView>
  </sheetViews>
  <sheetFormatPr defaultRowHeight="14.5" x14ac:dyDescent="0.35"/>
  <cols>
    <col min="1" max="1" width="10.7265625" bestFit="1" customWidth="1"/>
    <col min="2" max="2" width="15.6328125" bestFit="1" customWidth="1"/>
  </cols>
  <sheetData>
    <row r="3" spans="1:3" x14ac:dyDescent="0.35">
      <c r="A3" s="9" t="s">
        <v>2</v>
      </c>
      <c r="B3" t="s">
        <v>203</v>
      </c>
    </row>
    <row r="4" spans="1:3" x14ac:dyDescent="0.35">
      <c r="A4" s="10" t="s">
        <v>210</v>
      </c>
      <c r="B4" s="11">
        <v>46177</v>
      </c>
    </row>
    <row r="5" spans="1:3" x14ac:dyDescent="0.35">
      <c r="A5" s="10" t="s">
        <v>211</v>
      </c>
      <c r="B5" s="11">
        <v>45404</v>
      </c>
    </row>
    <row r="6" spans="1:3" x14ac:dyDescent="0.35">
      <c r="A6" s="10" t="s">
        <v>208</v>
      </c>
      <c r="B6" s="11">
        <v>41356</v>
      </c>
    </row>
    <row r="7" spans="1:3" x14ac:dyDescent="0.35">
      <c r="A7" s="10" t="s">
        <v>209</v>
      </c>
      <c r="B7" s="11">
        <v>27439</v>
      </c>
    </row>
    <row r="8" spans="1:3" x14ac:dyDescent="0.35">
      <c r="A8" s="10" t="s">
        <v>202</v>
      </c>
      <c r="B8" s="11">
        <v>160376</v>
      </c>
    </row>
    <row r="13" spans="1:3" x14ac:dyDescent="0.35">
      <c r="A13" s="12" t="s">
        <v>212</v>
      </c>
      <c r="B13" s="12"/>
      <c r="C13" s="12"/>
    </row>
  </sheetData>
  <mergeCells count="1">
    <mergeCell ref="A13:C1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E4631-F82F-4ABE-A16F-5BAD13B38E53}">
  <dimension ref="A3:B9"/>
  <sheetViews>
    <sheetView workbookViewId="0">
      <selection activeCell="B15" sqref="B15"/>
    </sheetView>
  </sheetViews>
  <sheetFormatPr defaultRowHeight="14.5" x14ac:dyDescent="0.35"/>
  <cols>
    <col min="1" max="1" width="16.7265625" bestFit="1" customWidth="1"/>
    <col min="2" max="2" width="15.6328125" bestFit="1" customWidth="1"/>
  </cols>
  <sheetData>
    <row r="3" spans="1:2" x14ac:dyDescent="0.35">
      <c r="A3" s="9" t="s">
        <v>216</v>
      </c>
      <c r="B3" t="s">
        <v>203</v>
      </c>
    </row>
    <row r="4" spans="1:2" x14ac:dyDescent="0.35">
      <c r="A4" s="10" t="s">
        <v>205</v>
      </c>
      <c r="B4" s="11">
        <v>8390</v>
      </c>
    </row>
    <row r="5" spans="1:2" x14ac:dyDescent="0.35">
      <c r="A5" s="10" t="s">
        <v>204</v>
      </c>
      <c r="B5" s="11">
        <v>7192</v>
      </c>
    </row>
    <row r="6" spans="1:2" x14ac:dyDescent="0.35">
      <c r="A6" s="10" t="s">
        <v>214</v>
      </c>
      <c r="B6" s="11">
        <v>6491</v>
      </c>
    </row>
    <row r="7" spans="1:2" x14ac:dyDescent="0.35">
      <c r="A7" s="10" t="s">
        <v>215</v>
      </c>
      <c r="B7" s="11">
        <v>6192</v>
      </c>
    </row>
    <row r="8" spans="1:2" x14ac:dyDescent="0.35">
      <c r="A8" s="10" t="s">
        <v>213</v>
      </c>
      <c r="B8" s="11">
        <v>5449</v>
      </c>
    </row>
    <row r="9" spans="1:2" x14ac:dyDescent="0.35">
      <c r="A9" s="10" t="s">
        <v>202</v>
      </c>
      <c r="B9" s="11">
        <v>33714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Sales Data</vt:lpstr>
      <vt:lpstr>Total Sales by Product</vt:lpstr>
      <vt:lpstr>Top Region by Revenue</vt:lpstr>
      <vt:lpstr>Top 5 Customers by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marenza santarin</cp:lastModifiedBy>
  <cp:revision/>
  <dcterms:created xsi:type="dcterms:W3CDTF">2026-04-09T12:04:05Z</dcterms:created>
  <dcterms:modified xsi:type="dcterms:W3CDTF">2026-04-09T20:12:22Z</dcterms:modified>
  <cp:category/>
  <cp:contentStatus/>
</cp:coreProperties>
</file>