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enzasantarin\Downloads\"/>
    </mc:Choice>
  </mc:AlternateContent>
  <xr:revisionPtr revIDLastSave="0" documentId="13_ncr:1_{74B91B65-7EDD-4A8C-8E78-B3177E767FA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tail Sales Data" sheetId="1" r:id="rId1"/>
    <sheet name="Total Sales by Region" sheetId="2" r:id="rId2"/>
    <sheet name="Sales by Product" sheetId="3" r:id="rId3"/>
    <sheet name="Sales by Category" sheetId="4" r:id="rId4"/>
    <sheet name="Top Customer by Sales" sheetId="5" r:id="rId5"/>
    <sheet name="Insight &amp; Recommendation" sheetId="6" r:id="rId6"/>
  </sheets>
  <definedNames>
    <definedName name="_xlnm._FilterDatabase" localSheetId="0" hidden="1">'Retail Sales Data'!$A$1:$I$121</definedName>
  </definedNames>
  <calcPr calcId="191028"/>
  <pivotCaches>
    <pivotCache cacheId="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2" i="1"/>
</calcChain>
</file>

<file path=xl/sharedStrings.xml><?xml version="1.0" encoding="utf-8"?>
<sst xmlns="http://schemas.openxmlformats.org/spreadsheetml/2006/main" count="656" uniqueCount="122">
  <si>
    <t>Order ID</t>
  </si>
  <si>
    <t>Date</t>
  </si>
  <si>
    <t>Region</t>
  </si>
  <si>
    <t>Product</t>
  </si>
  <si>
    <t>Category</t>
  </si>
  <si>
    <t>Customer</t>
  </si>
  <si>
    <t>Units Sold</t>
  </si>
  <si>
    <t>Unit Price</t>
  </si>
  <si>
    <t>Total Sales</t>
  </si>
  <si>
    <t>2025-04-21</t>
  </si>
  <si>
    <t>South</t>
  </si>
  <si>
    <t>Laptop</t>
  </si>
  <si>
    <t>Technology</t>
  </si>
  <si>
    <t>Hernandez</t>
  </si>
  <si>
    <t>2025-03-21</t>
  </si>
  <si>
    <t>East</t>
  </si>
  <si>
    <t>Monitor</t>
  </si>
  <si>
    <t>Lopez</t>
  </si>
  <si>
    <t>2025-01-18</t>
  </si>
  <si>
    <t>Desk</t>
  </si>
  <si>
    <t>Furniture</t>
  </si>
  <si>
    <t>Wilson</t>
  </si>
  <si>
    <t>2025-04-28</t>
  </si>
  <si>
    <t>Taylor</t>
  </si>
  <si>
    <t>2025-03-19</t>
  </si>
  <si>
    <t>West</t>
  </si>
  <si>
    <t>Printer</t>
  </si>
  <si>
    <t>Anderson</t>
  </si>
  <si>
    <t>2025-04-19</t>
  </si>
  <si>
    <t>North</t>
  </si>
  <si>
    <t>Bookshelf</t>
  </si>
  <si>
    <t>2025-02-03</t>
  </si>
  <si>
    <t>Smith</t>
  </si>
  <si>
    <t>2025-04-02</t>
  </si>
  <si>
    <t>2025-02-10</t>
  </si>
  <si>
    <t>Chair</t>
  </si>
  <si>
    <t>2025-02-25</t>
  </si>
  <si>
    <t>2025-03-17</t>
  </si>
  <si>
    <t>Rodriguez</t>
  </si>
  <si>
    <t>2025-03-30</t>
  </si>
  <si>
    <t>Davis</t>
  </si>
  <si>
    <t>2025-04-08</t>
  </si>
  <si>
    <t>Thomas</t>
  </si>
  <si>
    <t>2025-03-22</t>
  </si>
  <si>
    <t>Jones</t>
  </si>
  <si>
    <t>2025-03-25</t>
  </si>
  <si>
    <t>Brown</t>
  </si>
  <si>
    <t>2025-03-24</t>
  </si>
  <si>
    <t>Phone</t>
  </si>
  <si>
    <t>Jackson</t>
  </si>
  <si>
    <t>2025-03-15</t>
  </si>
  <si>
    <t>2025-04-27</t>
  </si>
  <si>
    <t>2025-01-07</t>
  </si>
  <si>
    <t>Garcia</t>
  </si>
  <si>
    <t>2025-02-06</t>
  </si>
  <si>
    <t>2025-04-04</t>
  </si>
  <si>
    <t>Johnson</t>
  </si>
  <si>
    <t>2025-02-05</t>
  </si>
  <si>
    <t>2025-03-16</t>
  </si>
  <si>
    <t>Tablet</t>
  </si>
  <si>
    <t>2025-04-01</t>
  </si>
  <si>
    <t>2025-01-08</t>
  </si>
  <si>
    <t>2025-03-03</t>
  </si>
  <si>
    <t>2025-01-27</t>
  </si>
  <si>
    <t>Williams</t>
  </si>
  <si>
    <t>2025-03-06</t>
  </si>
  <si>
    <t>2025-01-19</t>
  </si>
  <si>
    <t>Miller</t>
  </si>
  <si>
    <t>2025-03-14</t>
  </si>
  <si>
    <t>2025-01-13</t>
  </si>
  <si>
    <t>2025-02-01</t>
  </si>
  <si>
    <t>2025-04-17</t>
  </si>
  <si>
    <t>Martinez</t>
  </si>
  <si>
    <t>2025-01-24</t>
  </si>
  <si>
    <t>2025-01-21</t>
  </si>
  <si>
    <t>Martin</t>
  </si>
  <si>
    <t>2025-02-26</t>
  </si>
  <si>
    <t>2025-01-30</t>
  </si>
  <si>
    <t>Gonzalez</t>
  </si>
  <si>
    <t>2025-02-19</t>
  </si>
  <si>
    <t>2025-01-26</t>
  </si>
  <si>
    <t>2025-02-13</t>
  </si>
  <si>
    <t>Moore</t>
  </si>
  <si>
    <t>2025-03-13</t>
  </si>
  <si>
    <t>2025-01-29</t>
  </si>
  <si>
    <t>2025-01-04</t>
  </si>
  <si>
    <t>2025-04-25</t>
  </si>
  <si>
    <t>2025-04-23</t>
  </si>
  <si>
    <t>2025-03-08</t>
  </si>
  <si>
    <t>2025-04-16</t>
  </si>
  <si>
    <t>2025-04-07</t>
  </si>
  <si>
    <t>2025-01-14</t>
  </si>
  <si>
    <t>2025-01-02</t>
  </si>
  <si>
    <t>2025-03-04</t>
  </si>
  <si>
    <t>2025-04-14</t>
  </si>
  <si>
    <t>2025-02-09</t>
  </si>
  <si>
    <t>2025-02-02</t>
  </si>
  <si>
    <t>2025-03-09</t>
  </si>
  <si>
    <t>2025-02-22</t>
  </si>
  <si>
    <t>2025-03-10</t>
  </si>
  <si>
    <t>2025-02-15</t>
  </si>
  <si>
    <t>2025-01-16</t>
  </si>
  <si>
    <t>2025-02-24</t>
  </si>
  <si>
    <t>2025-03-07</t>
  </si>
  <si>
    <t>2025-03-18</t>
  </si>
  <si>
    <t>2025-02-04</t>
  </si>
  <si>
    <t>2025-01-11</t>
  </si>
  <si>
    <t>2025-04-26</t>
  </si>
  <si>
    <t>2025-02-28</t>
  </si>
  <si>
    <t>2025-01-03</t>
  </si>
  <si>
    <t>2025-01-28</t>
  </si>
  <si>
    <t>2025-04-22</t>
  </si>
  <si>
    <t>2025-03-27</t>
  </si>
  <si>
    <t>2025-01-09</t>
  </si>
  <si>
    <t>2025-03-28</t>
  </si>
  <si>
    <t>2025-01-06</t>
  </si>
  <si>
    <t>2025-02-27</t>
  </si>
  <si>
    <t>2025-02-08</t>
  </si>
  <si>
    <t>Grand Total</t>
  </si>
  <si>
    <t>Sum of Total Sales</t>
  </si>
  <si>
    <t>Products</t>
  </si>
  <si>
    <t>Total Revenue: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</si>
</sst>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164" fontId="0" fillId="2" borderId="0" xfId="0" applyNumberFormat="1" applyFill="1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[digital_storytelling_sales_dataset.xlsx]Total Sales by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Sales by Region'!$B$1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AEA-427F-87AB-C46128A28B21}"/>
                </c:ext>
              </c:extLst>
            </c:dLbl>
            <c:dLbl>
              <c:idx val="1"/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AEA-427F-87AB-C46128A28B21}"/>
                </c:ext>
              </c:extLst>
            </c:dLbl>
            <c:dLbl>
              <c:idx val="2"/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AEA-427F-87AB-C46128A28B21}"/>
                </c:ext>
              </c:extLst>
            </c:dLbl>
            <c:dLbl>
              <c:idx val="3"/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EA-427F-87AB-C46128A28B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Sales by Region'!$A$2:$A$6</c:f>
              <c:strCache>
                <c:ptCount val="4"/>
                <c:pt idx="0">
                  <c:v>West</c:v>
                </c:pt>
                <c:pt idx="1">
                  <c:v>North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'Total Sales by Region'!$B$2:$B$6</c:f>
              <c:numCache>
                <c:formatCode>"$"#,##0.00</c:formatCode>
                <c:ptCount val="4"/>
                <c:pt idx="0">
                  <c:v>59610</c:v>
                </c:pt>
                <c:pt idx="1">
                  <c:v>56690</c:v>
                </c:pt>
                <c:pt idx="2">
                  <c:v>55200</c:v>
                </c:pt>
                <c:pt idx="3">
                  <c:v>49560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A-427F-87AB-C46128A28B2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00168688"/>
        <c:axId val="600169168"/>
      </c:barChart>
      <c:valAx>
        <c:axId val="600169168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600168688"/>
        <c:crosses val="autoZero"/>
        <c:crossBetween val="between"/>
      </c:valAx>
      <c:catAx>
        <c:axId val="600168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1691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[digital_storytelling_sales_dataset.xlsx]Sales by Product!PivotTable2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Product'!$B$1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Product'!$A$2:$A$10</c:f>
              <c:strCache>
                <c:ptCount val="8"/>
                <c:pt idx="0">
                  <c:v>Laptop</c:v>
                </c:pt>
                <c:pt idx="1">
                  <c:v>Phone</c:v>
                </c:pt>
                <c:pt idx="2">
                  <c:v>Desk</c:v>
                </c:pt>
                <c:pt idx="3">
                  <c:v>Monitor</c:v>
                </c:pt>
                <c:pt idx="4">
                  <c:v>Tablet</c:v>
                </c:pt>
                <c:pt idx="5">
                  <c:v>Printer</c:v>
                </c:pt>
                <c:pt idx="6">
                  <c:v>Bookshelf</c:v>
                </c:pt>
                <c:pt idx="7">
                  <c:v>Chair</c:v>
                </c:pt>
              </c:strCache>
            </c:strRef>
          </c:cat>
          <c:val>
            <c:numRef>
              <c:f>'Sales by Product'!$B$2:$B$10</c:f>
              <c:numCache>
                <c:formatCode>"$"#,##0.00</c:formatCode>
                <c:ptCount val="8"/>
                <c:pt idx="0">
                  <c:v>61200</c:v>
                </c:pt>
                <c:pt idx="1">
                  <c:v>43200</c:v>
                </c:pt>
                <c:pt idx="2">
                  <c:v>29750</c:v>
                </c:pt>
                <c:pt idx="3">
                  <c:v>24000</c:v>
                </c:pt>
                <c:pt idx="4">
                  <c:v>21600</c:v>
                </c:pt>
                <c:pt idx="5">
                  <c:v>18750</c:v>
                </c:pt>
                <c:pt idx="6">
                  <c:v>15600</c:v>
                </c:pt>
                <c:pt idx="7">
                  <c:v>6960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7-4D89-B45D-6F4B4B750DE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72674255"/>
        <c:axId val="872674735"/>
      </c:barChart>
      <c:catAx>
        <c:axId val="87267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674735"/>
        <c:crosses val="autoZero"/>
        <c:auto val="1"/>
        <c:lblAlgn val="ctr"/>
        <c:lblOffset val="100"/>
        <c:noMultiLvlLbl val="0"/>
      </c:catAx>
      <c:valAx>
        <c:axId val="872674735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87267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[digital_storytelling_sales_dataset.xlsx]Sales by 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7965591059778713"/>
              <c:y val="0.22541420118343194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554010754527674"/>
                  <c:h val="0.19600711201422399"/>
                </c:manualLayout>
              </c15:layout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7688692025651809"/>
              <c:y val="-0.18138107627566608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511362533001049"/>
                  <c:h val="0.20646918699242803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'Sales by Category'!$B$1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E6E-40F9-891A-F2423B750B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E6E-40F9-891A-F2423B750B52}"/>
              </c:ext>
            </c:extLst>
          </c:dPt>
          <c:dLbls>
            <c:dLbl>
              <c:idx val="0"/>
              <c:layout>
                <c:manualLayout>
                  <c:x val="-0.17965591059778713"/>
                  <c:y val="0.22541420118343194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554010754527674"/>
                      <c:h val="0.196007112014223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8E6E-40F9-891A-F2423B750B52}"/>
                </c:ext>
              </c:extLst>
            </c:dLbl>
            <c:dLbl>
              <c:idx val="1"/>
              <c:layout>
                <c:manualLayout>
                  <c:x val="0.17688692025651809"/>
                  <c:y val="-0.18138107627566608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511362533001049"/>
                      <c:h val="0.2064691869924280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E6E-40F9-891A-F2423B750B5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Category'!$A$2:$A$4</c:f>
              <c:strCache>
                <c:ptCount val="2"/>
                <c:pt idx="0">
                  <c:v>Furniture</c:v>
                </c:pt>
                <c:pt idx="1">
                  <c:v>Technology</c:v>
                </c:pt>
              </c:strCache>
            </c:strRef>
          </c:cat>
          <c:val>
            <c:numRef>
              <c:f>'Sales by Category'!$B$2:$B$4</c:f>
              <c:numCache>
                <c:formatCode>"$"#,##0.00</c:formatCode>
                <c:ptCount val="2"/>
                <c:pt idx="0">
                  <c:v>52310</c:v>
                </c:pt>
                <c:pt idx="1">
                  <c:v>168750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E-40F9-891A-F2423B750B5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013080205843319"/>
          <c:y val="0.68914511666861167"/>
          <c:w val="0.13947577457104415"/>
          <c:h val="0.1428395378092531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[digital_storytelling_sales_dataset.xlsx]Top Customer by Sales!PivotTable4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Top Customer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 by Sales'!$B$1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Customer by Sales'!$A$2:$A$22</c:f>
              <c:strCache>
                <c:ptCount val="20"/>
                <c:pt idx="0">
                  <c:v>Taylor</c:v>
                </c:pt>
                <c:pt idx="1">
                  <c:v>Miller</c:v>
                </c:pt>
                <c:pt idx="2">
                  <c:v>Gonzalez</c:v>
                </c:pt>
                <c:pt idx="3">
                  <c:v>Davis</c:v>
                </c:pt>
                <c:pt idx="4">
                  <c:v>Thomas</c:v>
                </c:pt>
                <c:pt idx="5">
                  <c:v>Johnson</c:v>
                </c:pt>
                <c:pt idx="6">
                  <c:v>Martinez</c:v>
                </c:pt>
                <c:pt idx="7">
                  <c:v>Lopez</c:v>
                </c:pt>
                <c:pt idx="8">
                  <c:v>Smith</c:v>
                </c:pt>
                <c:pt idx="9">
                  <c:v>Jackson</c:v>
                </c:pt>
                <c:pt idx="10">
                  <c:v>Wilson</c:v>
                </c:pt>
                <c:pt idx="11">
                  <c:v>Brown</c:v>
                </c:pt>
                <c:pt idx="12">
                  <c:v>Martin</c:v>
                </c:pt>
                <c:pt idx="13">
                  <c:v>Hernandez</c:v>
                </c:pt>
                <c:pt idx="14">
                  <c:v>Garcia</c:v>
                </c:pt>
                <c:pt idx="15">
                  <c:v>Jones</c:v>
                </c:pt>
                <c:pt idx="16">
                  <c:v>Rodriguez</c:v>
                </c:pt>
                <c:pt idx="17">
                  <c:v>Anderson</c:v>
                </c:pt>
                <c:pt idx="18">
                  <c:v>Moore</c:v>
                </c:pt>
                <c:pt idx="19">
                  <c:v>Williams</c:v>
                </c:pt>
              </c:strCache>
            </c:strRef>
          </c:cat>
          <c:val>
            <c:numRef>
              <c:f>'Top Customer by Sales'!$B$2:$B$22</c:f>
              <c:numCache>
                <c:formatCode>"$"#,##0.00</c:formatCode>
                <c:ptCount val="20"/>
                <c:pt idx="0">
                  <c:v>20350</c:v>
                </c:pt>
                <c:pt idx="1">
                  <c:v>19870</c:v>
                </c:pt>
                <c:pt idx="2">
                  <c:v>18500</c:v>
                </c:pt>
                <c:pt idx="3">
                  <c:v>18050</c:v>
                </c:pt>
                <c:pt idx="4">
                  <c:v>17920</c:v>
                </c:pt>
                <c:pt idx="5">
                  <c:v>14800</c:v>
                </c:pt>
                <c:pt idx="6">
                  <c:v>13050</c:v>
                </c:pt>
                <c:pt idx="7">
                  <c:v>12450</c:v>
                </c:pt>
                <c:pt idx="8">
                  <c:v>12310</c:v>
                </c:pt>
                <c:pt idx="9">
                  <c:v>11500</c:v>
                </c:pt>
                <c:pt idx="10">
                  <c:v>11150</c:v>
                </c:pt>
                <c:pt idx="11">
                  <c:v>10950</c:v>
                </c:pt>
                <c:pt idx="12">
                  <c:v>9200</c:v>
                </c:pt>
                <c:pt idx="13">
                  <c:v>8040</c:v>
                </c:pt>
                <c:pt idx="14">
                  <c:v>6330</c:v>
                </c:pt>
                <c:pt idx="15">
                  <c:v>5250</c:v>
                </c:pt>
                <c:pt idx="16">
                  <c:v>3870</c:v>
                </c:pt>
                <c:pt idx="17">
                  <c:v>3450</c:v>
                </c:pt>
                <c:pt idx="18">
                  <c:v>2640</c:v>
                </c:pt>
                <c:pt idx="19">
                  <c:v>1380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3-42F5-9189-2A7B712FD8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72657935"/>
        <c:axId val="872632015"/>
      </c:barChart>
      <c:catAx>
        <c:axId val="87265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632015"/>
        <c:crosses val="autoZero"/>
        <c:auto val="1"/>
        <c:lblAlgn val="ctr"/>
        <c:lblOffset val="100"/>
        <c:noMultiLvlLbl val="0"/>
      </c:catAx>
      <c:valAx>
        <c:axId val="872632015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87265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12699</xdr:colOff>
      <xdr:row>1</xdr:row>
      <xdr:rowOff>0</xdr:rowOff>
    </xdr:from>
    <xdr:to>
      <xdr:col>11</xdr:col>
      <xdr:colOff>533399</xdr:colOff>
      <xdr:row>22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CCAAF5-A88D-88C3-D589-1AEB79EF4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22224</xdr:colOff>
      <xdr:row>0</xdr:row>
      <xdr:rowOff>171450</xdr:rowOff>
    </xdr:from>
    <xdr:to>
      <xdr:col>14</xdr:col>
      <xdr:colOff>600075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812113-2D32-7132-C55E-06B939042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3174</xdr:colOff>
      <xdr:row>1</xdr:row>
      <xdr:rowOff>6350</xdr:rowOff>
    </xdr:from>
    <xdr:to>
      <xdr:col>11</xdr:col>
      <xdr:colOff>533399</xdr:colOff>
      <xdr:row>24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436FE7-BCF1-B95C-A5CB-AC643D33F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406399</xdr:colOff>
      <xdr:row>0</xdr:row>
      <xdr:rowOff>123825</xdr:rowOff>
    </xdr:from>
    <xdr:to>
      <xdr:col>14</xdr:col>
      <xdr:colOff>600074</xdr:colOff>
      <xdr:row>31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5ECB0D-1E02-415D-0173-F88DAE91A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38101</xdr:rowOff>
    </xdr:from>
    <xdr:to>
      <xdr:col>11</xdr:col>
      <xdr:colOff>66675</xdr:colOff>
      <xdr:row>16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20E637-FABD-0BEB-652A-BD68ED1BE9B4}"/>
            </a:ext>
          </a:extLst>
        </xdr:cNvPr>
        <xdr:cNvSpPr txBox="1"/>
      </xdr:nvSpPr>
      <xdr:spPr>
        <a:xfrm>
          <a:off x="676275" y="219076"/>
          <a:ext cx="6096000" cy="27146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 b="1">
            <a:latin typeface="Aptos" panose="020B0004020202020204" pitchFamily="34" charset="0"/>
            <a:cs typeface="Times New Roman" panose="02020603050405020304" pitchFamily="18" charset="0"/>
          </a:endParaRPr>
        </a:p>
        <a:p>
          <a:r>
            <a:rPr lang="en-US" sz="1200" b="1">
              <a:latin typeface="Aptos" panose="020B0004020202020204" pitchFamily="34" charset="0"/>
              <a:cs typeface="Times New Roman" panose="02020603050405020304" pitchFamily="18" charset="0"/>
            </a:rPr>
            <a:t>KEY INSIGHTS</a:t>
          </a:r>
        </a:p>
        <a:p>
          <a:r>
            <a:rPr lang="en-US" sz="1200">
              <a:latin typeface="Aptos" panose="020B0004020202020204" pitchFamily="34" charset="0"/>
              <a:cs typeface="Times New Roman" panose="02020603050405020304" pitchFamily="18" charset="0"/>
            </a:rPr>
            <a:t>- The </a:t>
          </a:r>
          <a:r>
            <a:rPr lang="en-US" sz="1200" b="1">
              <a:latin typeface="Aptos" panose="020B0004020202020204" pitchFamily="34" charset="0"/>
              <a:cs typeface="Times New Roman" panose="02020603050405020304" pitchFamily="18" charset="0"/>
            </a:rPr>
            <a:t>West region</a:t>
          </a:r>
          <a:r>
            <a:rPr lang="en-US" sz="1200">
              <a:latin typeface="Aptos" panose="020B0004020202020204" pitchFamily="34" charset="0"/>
              <a:cs typeface="Times New Roman" panose="02020603050405020304" pitchFamily="18" charset="0"/>
            </a:rPr>
            <a:t> generated the highest sales revenue at </a:t>
          </a:r>
          <a:r>
            <a:rPr lang="en-US" sz="1200" b="1">
              <a:latin typeface="Aptos" panose="020B0004020202020204" pitchFamily="34" charset="0"/>
              <a:cs typeface="Times New Roman" panose="02020603050405020304" pitchFamily="18" charset="0"/>
            </a:rPr>
            <a:t>$59,610</a:t>
          </a:r>
          <a:r>
            <a:rPr lang="en-US" sz="1200">
              <a:latin typeface="Aptos" panose="020B0004020202020204" pitchFamily="34" charset="0"/>
              <a:cs typeface="Times New Roman" panose="02020603050405020304" pitchFamily="18" charset="0"/>
            </a:rPr>
            <a:t> </a:t>
          </a:r>
        </a:p>
        <a:p>
          <a:r>
            <a:rPr lang="en-US" sz="1200" b="1">
              <a:latin typeface="Aptos" panose="020B0004020202020204" pitchFamily="34" charset="0"/>
              <a:cs typeface="Times New Roman" panose="02020603050405020304" pitchFamily="18" charset="0"/>
            </a:rPr>
            <a:t>- Laptop</a:t>
          </a:r>
          <a:r>
            <a:rPr lang="en-US" sz="1200">
              <a:latin typeface="Aptos" panose="020B0004020202020204" pitchFamily="34" charset="0"/>
              <a:cs typeface="Times New Roman" panose="02020603050405020304" pitchFamily="18" charset="0"/>
            </a:rPr>
            <a:t> is the top-selling product with </a:t>
          </a:r>
          <a:r>
            <a:rPr lang="en-US" sz="1200" b="1">
              <a:latin typeface="Aptos" panose="020B0004020202020204" pitchFamily="34" charset="0"/>
              <a:cs typeface="Times New Roman" panose="02020603050405020304" pitchFamily="18" charset="0"/>
            </a:rPr>
            <a:t>$61,200</a:t>
          </a:r>
          <a:r>
            <a:rPr lang="en-US" sz="1200">
              <a:latin typeface="Aptos" panose="020B0004020202020204" pitchFamily="34" charset="0"/>
              <a:cs typeface="Times New Roman" panose="02020603050405020304" pitchFamily="18" charset="0"/>
            </a:rPr>
            <a:t> in revenue </a:t>
          </a:r>
        </a:p>
        <a:p>
          <a:r>
            <a:rPr lang="en-US" sz="1200" b="1">
              <a:latin typeface="Aptos" panose="020B0004020202020204" pitchFamily="34" charset="0"/>
              <a:cs typeface="Times New Roman" panose="02020603050405020304" pitchFamily="18" charset="0"/>
            </a:rPr>
            <a:t>- Technology</a:t>
          </a:r>
          <a:r>
            <a:rPr lang="en-US" sz="1200">
              <a:latin typeface="Aptos" panose="020B0004020202020204" pitchFamily="34" charset="0"/>
              <a:cs typeface="Times New Roman" panose="02020603050405020304" pitchFamily="18" charset="0"/>
            </a:rPr>
            <a:t> is the best-performing category with </a:t>
          </a:r>
          <a:r>
            <a:rPr lang="en-US" sz="1200" b="1">
              <a:latin typeface="Aptos" panose="020B0004020202020204" pitchFamily="34" charset="0"/>
              <a:cs typeface="Times New Roman" panose="02020603050405020304" pitchFamily="18" charset="0"/>
            </a:rPr>
            <a:t>$168,750</a:t>
          </a:r>
          <a:r>
            <a:rPr lang="en-US" sz="1200">
              <a:latin typeface="Aptos" panose="020B0004020202020204" pitchFamily="34" charset="0"/>
              <a:cs typeface="Times New Roman" panose="02020603050405020304" pitchFamily="18" charset="0"/>
            </a:rPr>
            <a:t>, much higher than Furniture </a:t>
          </a:r>
        </a:p>
        <a:p>
          <a:r>
            <a:rPr lang="en-US" sz="1200">
              <a:latin typeface="Aptos" panose="020B0004020202020204" pitchFamily="34" charset="0"/>
              <a:cs typeface="Times New Roman" panose="02020603050405020304" pitchFamily="18" charset="0"/>
            </a:rPr>
            <a:t>- The top customer by sales is </a:t>
          </a:r>
          <a:r>
            <a:rPr lang="en-US" sz="1200" b="1">
              <a:latin typeface="Aptos" panose="020B0004020202020204" pitchFamily="34" charset="0"/>
              <a:cs typeface="Times New Roman" panose="02020603050405020304" pitchFamily="18" charset="0"/>
            </a:rPr>
            <a:t>Taylor</a:t>
          </a:r>
          <a:r>
            <a:rPr lang="en-US" sz="1200">
              <a:latin typeface="Aptos" panose="020B0004020202020204" pitchFamily="34" charset="0"/>
              <a:cs typeface="Times New Roman" panose="02020603050405020304" pitchFamily="18" charset="0"/>
            </a:rPr>
            <a:t>, with </a:t>
          </a:r>
          <a:r>
            <a:rPr lang="en-US" sz="1200" b="1">
              <a:latin typeface="Aptos" panose="020B0004020202020204" pitchFamily="34" charset="0"/>
              <a:cs typeface="Times New Roman" panose="02020603050405020304" pitchFamily="18" charset="0"/>
            </a:rPr>
            <a:t>$20,350</a:t>
          </a:r>
          <a:endParaRPr lang="en-US" sz="1200">
            <a:latin typeface="Aptos" panose="020B0004020202020204" pitchFamily="34" charset="0"/>
            <a:cs typeface="Times New Roman" panose="02020603050405020304" pitchFamily="18" charset="0"/>
          </a:endParaRPr>
        </a:p>
        <a:p>
          <a:endParaRPr lang="en-US" sz="1200">
            <a:latin typeface="Aptos" panose="020B0004020202020204" pitchFamily="34" charset="0"/>
            <a:cs typeface="Times New Roman" panose="02020603050405020304" pitchFamily="18" charset="0"/>
          </a:endParaRPr>
        </a:p>
        <a:p>
          <a:r>
            <a:rPr lang="en-US" sz="1200" b="1">
              <a:latin typeface="Aptos" panose="020B0004020202020204" pitchFamily="34" charset="0"/>
              <a:cs typeface="Times New Roman" panose="02020603050405020304" pitchFamily="18" charset="0"/>
            </a:rPr>
            <a:t>RECOMMENDATION</a:t>
          </a:r>
        </a:p>
        <a:p>
          <a:r>
            <a:rPr lang="en-US" sz="1200">
              <a:latin typeface="Aptos" panose="020B0004020202020204" pitchFamily="34" charset="0"/>
              <a:cs typeface="Times New Roman" panose="02020603050405020304" pitchFamily="18" charset="0"/>
            </a:rPr>
            <a:t>The company should focus more on </a:t>
          </a:r>
          <a:r>
            <a:rPr lang="en-US" sz="1200" b="1">
              <a:latin typeface="Aptos" panose="020B0004020202020204" pitchFamily="34" charset="0"/>
              <a:cs typeface="Times New Roman" panose="02020603050405020304" pitchFamily="18" charset="0"/>
            </a:rPr>
            <a:t>Technology products</a:t>
          </a:r>
          <a:r>
            <a:rPr lang="en-US" sz="1200">
              <a:latin typeface="Aptos" panose="020B0004020202020204" pitchFamily="34" charset="0"/>
              <a:cs typeface="Times New Roman" panose="02020603050405020304" pitchFamily="18" charset="0"/>
            </a:rPr>
            <a:t>, especially </a:t>
          </a:r>
          <a:r>
            <a:rPr lang="en-US" sz="1200" b="1">
              <a:latin typeface="Aptos" panose="020B0004020202020204" pitchFamily="34" charset="0"/>
              <a:cs typeface="Times New Roman" panose="02020603050405020304" pitchFamily="18" charset="0"/>
            </a:rPr>
            <a:t>Laptops</a:t>
          </a:r>
          <a:r>
            <a:rPr lang="en-US" sz="1200">
              <a:latin typeface="Aptos" panose="020B0004020202020204" pitchFamily="34" charset="0"/>
              <a:cs typeface="Times New Roman" panose="02020603050405020304" pitchFamily="18" charset="0"/>
            </a:rPr>
            <a:t>, since they generate the most revenue. Management should also study why the </a:t>
          </a:r>
          <a:r>
            <a:rPr lang="en-US" sz="1200" b="1">
              <a:latin typeface="Aptos" panose="020B0004020202020204" pitchFamily="34" charset="0"/>
              <a:cs typeface="Times New Roman" panose="02020603050405020304" pitchFamily="18" charset="0"/>
            </a:rPr>
            <a:t>West region</a:t>
          </a:r>
          <a:r>
            <a:rPr lang="en-US" sz="1200">
              <a:latin typeface="Aptos" panose="020B0004020202020204" pitchFamily="34" charset="0"/>
              <a:cs typeface="Times New Roman" panose="02020603050405020304" pitchFamily="18" charset="0"/>
            </a:rPr>
            <a:t> is performing best and use similar strategies in other regions. The business may also want to strengthen relationships with high-value customers like </a:t>
          </a:r>
          <a:r>
            <a:rPr lang="en-US" sz="1200" b="1">
              <a:latin typeface="Aptos" panose="020B0004020202020204" pitchFamily="34" charset="0"/>
              <a:cs typeface="Times New Roman" panose="02020603050405020304" pitchFamily="18" charset="0"/>
            </a:rPr>
            <a:t>Taylor</a:t>
          </a:r>
          <a:r>
            <a:rPr lang="en-US" sz="1200">
              <a:latin typeface="Aptos" panose="020B0004020202020204" pitchFamily="34" charset="0"/>
              <a:cs typeface="Times New Roman" panose="02020603050405020304" pitchFamily="18" charset="0"/>
            </a:rPr>
            <a:t> to encourage repeat purchases.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enza santarin" refreshedDate="46122.619575925928" createdVersion="8" refreshedVersion="8" minRefreshableVersion="3" recordCount="120" xr:uid="{3B11E494-2DB8-448C-82E6-00CBB38E238B}">
  <cacheSource type="worksheet">
    <worksheetSource ref="A1:I121" sheet="Retail Sales Data"/>
  </cacheSource>
  <cacheFields count="9">
    <cacheField name="Order ID" numFmtId="0">
      <sharedItems containsSemiMixedTypes="0" containsString="0" containsNumber="1" containsInteger="1" minValue="1001" maxValue="1120"/>
    </cacheField>
    <cacheField name="Date" numFmtId="0">
      <sharedItems/>
    </cacheField>
    <cacheField name="Region" numFmtId="0">
      <sharedItems count="4">
        <s v="South"/>
        <s v="East"/>
        <s v="West"/>
        <s v="North"/>
      </sharedItems>
    </cacheField>
    <cacheField name="Product" numFmtId="0">
      <sharedItems count="8">
        <s v="Laptop"/>
        <s v="Monitor"/>
        <s v="Desk"/>
        <s v="Printer"/>
        <s v="Bookshelf"/>
        <s v="Chair"/>
        <s v="Phone"/>
        <s v="Tablet"/>
      </sharedItems>
    </cacheField>
    <cacheField name="Category" numFmtId="0">
      <sharedItems count="2">
        <s v="Technology"/>
        <s v="Furniture"/>
      </sharedItems>
    </cacheField>
    <cacheField name="Customer" numFmtId="0">
      <sharedItems count="20">
        <s v="Hernandez"/>
        <s v="Lopez"/>
        <s v="Wilson"/>
        <s v="Taylor"/>
        <s v="Anderson"/>
        <s v="Smith"/>
        <s v="Rodriguez"/>
        <s v="Davis"/>
        <s v="Thomas"/>
        <s v="Jones"/>
        <s v="Brown"/>
        <s v="Jackson"/>
        <s v="Garcia"/>
        <s v="Johnson"/>
        <s v="Williams"/>
        <s v="Miller"/>
        <s v="Martinez"/>
        <s v="Martin"/>
        <s v="Gonzalez"/>
        <s v="Moore"/>
      </sharedItems>
    </cacheField>
    <cacheField name="Units Sold" numFmtId="0">
      <sharedItems containsSemiMixedTypes="0" containsString="0" containsNumber="1" containsInteger="1" minValue="1" maxValue="8"/>
    </cacheField>
    <cacheField name="Unit Price" numFmtId="164">
      <sharedItems containsSemiMixedTypes="0" containsString="0" containsNumber="1" containsInteger="1" minValue="120" maxValue="900"/>
    </cacheField>
    <cacheField name="Total Sales" numFmtId="164">
      <sharedItems containsSemiMixedTypes="0" containsString="0" containsNumber="1" containsInteger="1" minValue="120" maxValue="7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001"/>
    <s v="2025-04-21"/>
    <x v="0"/>
    <x v="0"/>
    <x v="0"/>
    <x v="0"/>
    <n v="2"/>
    <n v="900"/>
    <n v="1800"/>
  </r>
  <r>
    <n v="1002"/>
    <s v="2025-03-21"/>
    <x v="1"/>
    <x v="1"/>
    <x v="0"/>
    <x v="1"/>
    <n v="8"/>
    <n v="300"/>
    <n v="2400"/>
  </r>
  <r>
    <n v="1003"/>
    <s v="2025-01-18"/>
    <x v="1"/>
    <x v="2"/>
    <x v="1"/>
    <x v="2"/>
    <n v="6"/>
    <n v="350"/>
    <n v="2100"/>
  </r>
  <r>
    <n v="1004"/>
    <s v="2025-04-28"/>
    <x v="0"/>
    <x v="2"/>
    <x v="1"/>
    <x v="3"/>
    <n v="2"/>
    <n v="350"/>
    <n v="700"/>
  </r>
  <r>
    <n v="1005"/>
    <s v="2025-03-19"/>
    <x v="2"/>
    <x v="3"/>
    <x v="0"/>
    <x v="4"/>
    <n v="5"/>
    <n v="250"/>
    <n v="1250"/>
  </r>
  <r>
    <n v="1006"/>
    <s v="2025-04-19"/>
    <x v="3"/>
    <x v="4"/>
    <x v="1"/>
    <x v="2"/>
    <n v="1"/>
    <n v="200"/>
    <n v="200"/>
  </r>
  <r>
    <n v="1007"/>
    <s v="2025-02-03"/>
    <x v="1"/>
    <x v="4"/>
    <x v="1"/>
    <x v="5"/>
    <n v="7"/>
    <n v="200"/>
    <n v="1400"/>
  </r>
  <r>
    <n v="1008"/>
    <s v="2025-04-02"/>
    <x v="0"/>
    <x v="4"/>
    <x v="1"/>
    <x v="3"/>
    <n v="5"/>
    <n v="200"/>
    <n v="1000"/>
  </r>
  <r>
    <n v="1009"/>
    <s v="2025-02-10"/>
    <x v="2"/>
    <x v="5"/>
    <x v="1"/>
    <x v="4"/>
    <n v="5"/>
    <n v="120"/>
    <n v="600"/>
  </r>
  <r>
    <n v="1010"/>
    <s v="2025-02-25"/>
    <x v="2"/>
    <x v="1"/>
    <x v="0"/>
    <x v="1"/>
    <n v="7"/>
    <n v="300"/>
    <n v="2100"/>
  </r>
  <r>
    <n v="1011"/>
    <s v="2025-03-17"/>
    <x v="0"/>
    <x v="0"/>
    <x v="0"/>
    <x v="6"/>
    <n v="1"/>
    <n v="900"/>
    <n v="900"/>
  </r>
  <r>
    <n v="1012"/>
    <s v="2025-03-30"/>
    <x v="0"/>
    <x v="0"/>
    <x v="0"/>
    <x v="7"/>
    <n v="7"/>
    <n v="900"/>
    <n v="6300"/>
  </r>
  <r>
    <n v="1013"/>
    <s v="2025-04-08"/>
    <x v="1"/>
    <x v="0"/>
    <x v="0"/>
    <x v="8"/>
    <n v="7"/>
    <n v="900"/>
    <n v="6300"/>
  </r>
  <r>
    <n v="1014"/>
    <s v="2025-03-22"/>
    <x v="3"/>
    <x v="4"/>
    <x v="1"/>
    <x v="9"/>
    <n v="6"/>
    <n v="200"/>
    <n v="1200"/>
  </r>
  <r>
    <n v="1015"/>
    <s v="2025-03-25"/>
    <x v="0"/>
    <x v="1"/>
    <x v="0"/>
    <x v="3"/>
    <n v="7"/>
    <n v="300"/>
    <n v="2100"/>
  </r>
  <r>
    <n v="1016"/>
    <s v="2025-03-19"/>
    <x v="3"/>
    <x v="0"/>
    <x v="0"/>
    <x v="10"/>
    <n v="5"/>
    <n v="900"/>
    <n v="4500"/>
  </r>
  <r>
    <n v="1017"/>
    <s v="2025-03-24"/>
    <x v="2"/>
    <x v="6"/>
    <x v="0"/>
    <x v="11"/>
    <n v="2"/>
    <n v="600"/>
    <n v="1200"/>
  </r>
  <r>
    <n v="1018"/>
    <s v="2025-03-15"/>
    <x v="2"/>
    <x v="6"/>
    <x v="0"/>
    <x v="3"/>
    <n v="4"/>
    <n v="600"/>
    <n v="2400"/>
  </r>
  <r>
    <n v="1019"/>
    <s v="2025-04-27"/>
    <x v="3"/>
    <x v="1"/>
    <x v="0"/>
    <x v="3"/>
    <n v="3"/>
    <n v="300"/>
    <n v="900"/>
  </r>
  <r>
    <n v="1020"/>
    <s v="2025-03-22"/>
    <x v="1"/>
    <x v="6"/>
    <x v="0"/>
    <x v="6"/>
    <n v="2"/>
    <n v="600"/>
    <n v="1200"/>
  </r>
  <r>
    <n v="1021"/>
    <s v="2025-01-07"/>
    <x v="2"/>
    <x v="5"/>
    <x v="1"/>
    <x v="12"/>
    <n v="3"/>
    <n v="120"/>
    <n v="360"/>
  </r>
  <r>
    <n v="1022"/>
    <s v="2025-02-06"/>
    <x v="1"/>
    <x v="4"/>
    <x v="1"/>
    <x v="1"/>
    <n v="7"/>
    <n v="200"/>
    <n v="1400"/>
  </r>
  <r>
    <n v="1023"/>
    <s v="2025-04-04"/>
    <x v="0"/>
    <x v="2"/>
    <x v="1"/>
    <x v="5"/>
    <n v="8"/>
    <n v="350"/>
    <n v="2800"/>
  </r>
  <r>
    <n v="1024"/>
    <s v="2025-04-04"/>
    <x v="1"/>
    <x v="3"/>
    <x v="0"/>
    <x v="13"/>
    <n v="4"/>
    <n v="250"/>
    <n v="1000"/>
  </r>
  <r>
    <n v="1025"/>
    <s v="2025-03-25"/>
    <x v="2"/>
    <x v="6"/>
    <x v="0"/>
    <x v="13"/>
    <n v="7"/>
    <n v="600"/>
    <n v="4200"/>
  </r>
  <r>
    <n v="1026"/>
    <s v="2025-02-05"/>
    <x v="2"/>
    <x v="4"/>
    <x v="1"/>
    <x v="7"/>
    <n v="3"/>
    <n v="200"/>
    <n v="600"/>
  </r>
  <r>
    <n v="1027"/>
    <s v="2025-03-16"/>
    <x v="1"/>
    <x v="7"/>
    <x v="0"/>
    <x v="13"/>
    <n v="7"/>
    <n v="400"/>
    <n v="2800"/>
  </r>
  <r>
    <n v="1028"/>
    <s v="2025-04-01"/>
    <x v="3"/>
    <x v="5"/>
    <x v="1"/>
    <x v="7"/>
    <n v="2"/>
    <n v="120"/>
    <n v="240"/>
  </r>
  <r>
    <n v="1029"/>
    <s v="2025-01-08"/>
    <x v="0"/>
    <x v="7"/>
    <x v="0"/>
    <x v="8"/>
    <n v="7"/>
    <n v="400"/>
    <n v="2800"/>
  </r>
  <r>
    <n v="1030"/>
    <s v="2025-03-03"/>
    <x v="3"/>
    <x v="3"/>
    <x v="0"/>
    <x v="5"/>
    <n v="8"/>
    <n v="250"/>
    <n v="2000"/>
  </r>
  <r>
    <n v="1031"/>
    <s v="2025-01-27"/>
    <x v="1"/>
    <x v="1"/>
    <x v="0"/>
    <x v="14"/>
    <n v="3"/>
    <n v="300"/>
    <n v="900"/>
  </r>
  <r>
    <n v="1032"/>
    <s v="2025-03-06"/>
    <x v="2"/>
    <x v="4"/>
    <x v="1"/>
    <x v="12"/>
    <n v="6"/>
    <n v="200"/>
    <n v="1200"/>
  </r>
  <r>
    <n v="1033"/>
    <s v="2025-01-19"/>
    <x v="2"/>
    <x v="4"/>
    <x v="1"/>
    <x v="15"/>
    <n v="2"/>
    <n v="200"/>
    <n v="400"/>
  </r>
  <r>
    <n v="1034"/>
    <s v="2025-03-14"/>
    <x v="2"/>
    <x v="0"/>
    <x v="0"/>
    <x v="3"/>
    <n v="6"/>
    <n v="900"/>
    <n v="5400"/>
  </r>
  <r>
    <n v="1035"/>
    <s v="2025-01-13"/>
    <x v="0"/>
    <x v="0"/>
    <x v="0"/>
    <x v="8"/>
    <n v="6"/>
    <n v="900"/>
    <n v="5400"/>
  </r>
  <r>
    <n v="1036"/>
    <s v="2025-02-01"/>
    <x v="1"/>
    <x v="3"/>
    <x v="0"/>
    <x v="13"/>
    <n v="8"/>
    <n v="250"/>
    <n v="2000"/>
  </r>
  <r>
    <n v="1037"/>
    <s v="2025-04-17"/>
    <x v="3"/>
    <x v="3"/>
    <x v="0"/>
    <x v="5"/>
    <n v="3"/>
    <n v="250"/>
    <n v="750"/>
  </r>
  <r>
    <n v="1038"/>
    <s v="2025-03-15"/>
    <x v="0"/>
    <x v="1"/>
    <x v="0"/>
    <x v="16"/>
    <n v="2"/>
    <n v="300"/>
    <n v="600"/>
  </r>
  <r>
    <n v="1039"/>
    <s v="2025-03-14"/>
    <x v="1"/>
    <x v="2"/>
    <x v="1"/>
    <x v="15"/>
    <n v="8"/>
    <n v="350"/>
    <n v="2800"/>
  </r>
  <r>
    <n v="1040"/>
    <s v="2025-01-24"/>
    <x v="2"/>
    <x v="3"/>
    <x v="0"/>
    <x v="5"/>
    <n v="2"/>
    <n v="250"/>
    <n v="500"/>
  </r>
  <r>
    <n v="1041"/>
    <s v="2025-01-21"/>
    <x v="2"/>
    <x v="6"/>
    <x v="0"/>
    <x v="17"/>
    <n v="7"/>
    <n v="600"/>
    <n v="4200"/>
  </r>
  <r>
    <n v="1042"/>
    <s v="2025-03-19"/>
    <x v="0"/>
    <x v="3"/>
    <x v="0"/>
    <x v="3"/>
    <n v="5"/>
    <n v="250"/>
    <n v="1250"/>
  </r>
  <r>
    <n v="1043"/>
    <s v="2025-03-30"/>
    <x v="0"/>
    <x v="3"/>
    <x v="0"/>
    <x v="16"/>
    <n v="3"/>
    <n v="250"/>
    <n v="750"/>
  </r>
  <r>
    <n v="1044"/>
    <s v="2025-02-26"/>
    <x v="3"/>
    <x v="7"/>
    <x v="0"/>
    <x v="1"/>
    <n v="2"/>
    <n v="400"/>
    <n v="800"/>
  </r>
  <r>
    <n v="1045"/>
    <s v="2025-01-13"/>
    <x v="3"/>
    <x v="0"/>
    <x v="0"/>
    <x v="8"/>
    <n v="1"/>
    <n v="900"/>
    <n v="900"/>
  </r>
  <r>
    <n v="1046"/>
    <s v="2025-01-30"/>
    <x v="1"/>
    <x v="0"/>
    <x v="0"/>
    <x v="18"/>
    <n v="6"/>
    <n v="900"/>
    <n v="5400"/>
  </r>
  <r>
    <n v="1047"/>
    <s v="2025-02-19"/>
    <x v="2"/>
    <x v="2"/>
    <x v="1"/>
    <x v="10"/>
    <n v="7"/>
    <n v="350"/>
    <n v="2450"/>
  </r>
  <r>
    <n v="1048"/>
    <s v="2025-04-02"/>
    <x v="2"/>
    <x v="4"/>
    <x v="1"/>
    <x v="5"/>
    <n v="3"/>
    <n v="200"/>
    <n v="600"/>
  </r>
  <r>
    <n v="1049"/>
    <s v="2025-01-26"/>
    <x v="3"/>
    <x v="1"/>
    <x v="0"/>
    <x v="18"/>
    <n v="1"/>
    <n v="300"/>
    <n v="300"/>
  </r>
  <r>
    <n v="1050"/>
    <s v="2025-02-13"/>
    <x v="0"/>
    <x v="1"/>
    <x v="0"/>
    <x v="19"/>
    <n v="8"/>
    <n v="300"/>
    <n v="2400"/>
  </r>
  <r>
    <n v="1051"/>
    <s v="2025-03-30"/>
    <x v="2"/>
    <x v="6"/>
    <x v="0"/>
    <x v="18"/>
    <n v="6"/>
    <n v="600"/>
    <n v="3600"/>
  </r>
  <r>
    <n v="1052"/>
    <s v="2025-02-06"/>
    <x v="3"/>
    <x v="6"/>
    <x v="0"/>
    <x v="15"/>
    <n v="8"/>
    <n v="600"/>
    <n v="4800"/>
  </r>
  <r>
    <n v="1053"/>
    <s v="2025-03-13"/>
    <x v="0"/>
    <x v="5"/>
    <x v="1"/>
    <x v="13"/>
    <n v="2"/>
    <n v="120"/>
    <n v="240"/>
  </r>
  <r>
    <n v="1054"/>
    <s v="2025-01-19"/>
    <x v="3"/>
    <x v="0"/>
    <x v="0"/>
    <x v="7"/>
    <n v="2"/>
    <n v="900"/>
    <n v="1800"/>
  </r>
  <r>
    <n v="1055"/>
    <s v="2025-01-29"/>
    <x v="2"/>
    <x v="1"/>
    <x v="0"/>
    <x v="11"/>
    <n v="6"/>
    <n v="300"/>
    <n v="1800"/>
  </r>
  <r>
    <n v="1056"/>
    <s v="2025-01-04"/>
    <x v="0"/>
    <x v="5"/>
    <x v="1"/>
    <x v="6"/>
    <n v="6"/>
    <n v="120"/>
    <n v="720"/>
  </r>
  <r>
    <n v="1057"/>
    <s v="2025-01-26"/>
    <x v="1"/>
    <x v="6"/>
    <x v="0"/>
    <x v="2"/>
    <n v="7"/>
    <n v="600"/>
    <n v="4200"/>
  </r>
  <r>
    <n v="1058"/>
    <s v="2025-04-25"/>
    <x v="3"/>
    <x v="7"/>
    <x v="0"/>
    <x v="15"/>
    <n v="7"/>
    <n v="400"/>
    <n v="2800"/>
  </r>
  <r>
    <n v="1059"/>
    <s v="2025-04-23"/>
    <x v="0"/>
    <x v="2"/>
    <x v="1"/>
    <x v="2"/>
    <n v="3"/>
    <n v="350"/>
    <n v="1050"/>
  </r>
  <r>
    <n v="1060"/>
    <s v="2025-03-08"/>
    <x v="2"/>
    <x v="6"/>
    <x v="0"/>
    <x v="13"/>
    <n v="4"/>
    <n v="600"/>
    <n v="2400"/>
  </r>
  <r>
    <n v="1061"/>
    <s v="2025-01-08"/>
    <x v="0"/>
    <x v="5"/>
    <x v="1"/>
    <x v="5"/>
    <n v="8"/>
    <n v="120"/>
    <n v="960"/>
  </r>
  <r>
    <n v="1062"/>
    <s v="2025-04-16"/>
    <x v="2"/>
    <x v="1"/>
    <x v="0"/>
    <x v="18"/>
    <n v="2"/>
    <n v="300"/>
    <n v="600"/>
  </r>
  <r>
    <n v="1063"/>
    <s v="2025-03-21"/>
    <x v="0"/>
    <x v="2"/>
    <x v="1"/>
    <x v="6"/>
    <n v="3"/>
    <n v="350"/>
    <n v="1050"/>
  </r>
  <r>
    <n v="1064"/>
    <s v="2025-04-07"/>
    <x v="0"/>
    <x v="3"/>
    <x v="0"/>
    <x v="16"/>
    <n v="2"/>
    <n v="250"/>
    <n v="500"/>
  </r>
  <r>
    <n v="1065"/>
    <s v="2025-01-14"/>
    <x v="0"/>
    <x v="7"/>
    <x v="0"/>
    <x v="16"/>
    <n v="8"/>
    <n v="400"/>
    <n v="3200"/>
  </r>
  <r>
    <n v="1066"/>
    <s v="2025-01-02"/>
    <x v="2"/>
    <x v="1"/>
    <x v="0"/>
    <x v="0"/>
    <n v="4"/>
    <n v="300"/>
    <n v="1200"/>
  </r>
  <r>
    <n v="1067"/>
    <s v="2025-03-04"/>
    <x v="3"/>
    <x v="7"/>
    <x v="0"/>
    <x v="0"/>
    <n v="8"/>
    <n v="400"/>
    <n v="3200"/>
  </r>
  <r>
    <n v="1068"/>
    <s v="2025-04-14"/>
    <x v="3"/>
    <x v="7"/>
    <x v="0"/>
    <x v="0"/>
    <n v="4"/>
    <n v="400"/>
    <n v="1600"/>
  </r>
  <r>
    <n v="1069"/>
    <s v="2025-03-15"/>
    <x v="3"/>
    <x v="1"/>
    <x v="0"/>
    <x v="17"/>
    <n v="1"/>
    <n v="300"/>
    <n v="300"/>
  </r>
  <r>
    <n v="1070"/>
    <s v="2025-03-30"/>
    <x v="2"/>
    <x v="3"/>
    <x v="0"/>
    <x v="1"/>
    <n v="1"/>
    <n v="250"/>
    <n v="250"/>
  </r>
  <r>
    <n v="1071"/>
    <s v="2025-02-09"/>
    <x v="0"/>
    <x v="1"/>
    <x v="0"/>
    <x v="16"/>
    <n v="3"/>
    <n v="300"/>
    <n v="900"/>
  </r>
  <r>
    <n v="1072"/>
    <s v="2025-04-27"/>
    <x v="3"/>
    <x v="5"/>
    <x v="1"/>
    <x v="0"/>
    <n v="2"/>
    <n v="120"/>
    <n v="240"/>
  </r>
  <r>
    <n v="1073"/>
    <s v="2025-02-02"/>
    <x v="1"/>
    <x v="6"/>
    <x v="0"/>
    <x v="16"/>
    <n v="4"/>
    <n v="600"/>
    <n v="2400"/>
  </r>
  <r>
    <n v="1074"/>
    <s v="2025-03-09"/>
    <x v="0"/>
    <x v="4"/>
    <x v="1"/>
    <x v="11"/>
    <n v="8"/>
    <n v="200"/>
    <n v="1600"/>
  </r>
  <r>
    <n v="1075"/>
    <s v="2025-01-08"/>
    <x v="0"/>
    <x v="3"/>
    <x v="0"/>
    <x v="15"/>
    <n v="5"/>
    <n v="250"/>
    <n v="1250"/>
  </r>
  <r>
    <n v="1076"/>
    <s v="2025-02-22"/>
    <x v="0"/>
    <x v="0"/>
    <x v="0"/>
    <x v="5"/>
    <n v="3"/>
    <n v="900"/>
    <n v="2700"/>
  </r>
  <r>
    <n v="1077"/>
    <s v="2025-03-10"/>
    <x v="3"/>
    <x v="5"/>
    <x v="1"/>
    <x v="13"/>
    <n v="8"/>
    <n v="120"/>
    <n v="960"/>
  </r>
  <r>
    <n v="1078"/>
    <s v="2025-02-15"/>
    <x v="3"/>
    <x v="2"/>
    <x v="1"/>
    <x v="1"/>
    <n v="8"/>
    <n v="350"/>
    <n v="2800"/>
  </r>
  <r>
    <n v="1079"/>
    <s v="2025-01-16"/>
    <x v="3"/>
    <x v="2"/>
    <x v="1"/>
    <x v="16"/>
    <n v="3"/>
    <n v="350"/>
    <n v="1050"/>
  </r>
  <r>
    <n v="1080"/>
    <s v="2025-02-24"/>
    <x v="2"/>
    <x v="0"/>
    <x v="0"/>
    <x v="3"/>
    <n v="2"/>
    <n v="900"/>
    <n v="1800"/>
  </r>
  <r>
    <n v="1081"/>
    <s v="2025-01-16"/>
    <x v="3"/>
    <x v="5"/>
    <x v="1"/>
    <x v="12"/>
    <n v="6"/>
    <n v="120"/>
    <n v="720"/>
  </r>
  <r>
    <n v="1082"/>
    <s v="2025-03-07"/>
    <x v="2"/>
    <x v="7"/>
    <x v="0"/>
    <x v="15"/>
    <n v="8"/>
    <n v="400"/>
    <n v="3200"/>
  </r>
  <r>
    <n v="1083"/>
    <s v="2025-03-18"/>
    <x v="2"/>
    <x v="1"/>
    <x v="0"/>
    <x v="16"/>
    <n v="4"/>
    <n v="300"/>
    <n v="1200"/>
  </r>
  <r>
    <n v="1084"/>
    <s v="2025-02-04"/>
    <x v="3"/>
    <x v="3"/>
    <x v="0"/>
    <x v="10"/>
    <n v="4"/>
    <n v="250"/>
    <n v="1000"/>
  </r>
  <r>
    <n v="1085"/>
    <s v="2025-01-11"/>
    <x v="3"/>
    <x v="4"/>
    <x v="1"/>
    <x v="11"/>
    <n v="6"/>
    <n v="200"/>
    <n v="1200"/>
  </r>
  <r>
    <n v="1086"/>
    <s v="2025-03-14"/>
    <x v="0"/>
    <x v="7"/>
    <x v="0"/>
    <x v="2"/>
    <n v="3"/>
    <n v="400"/>
    <n v="1200"/>
  </r>
  <r>
    <n v="1087"/>
    <s v="2025-04-26"/>
    <x v="1"/>
    <x v="2"/>
    <x v="1"/>
    <x v="12"/>
    <n v="3"/>
    <n v="350"/>
    <n v="1050"/>
  </r>
  <r>
    <n v="1088"/>
    <s v="2025-02-02"/>
    <x v="2"/>
    <x v="2"/>
    <x v="1"/>
    <x v="18"/>
    <n v="8"/>
    <n v="350"/>
    <n v="2800"/>
  </r>
  <r>
    <n v="1089"/>
    <s v="2025-02-02"/>
    <x v="0"/>
    <x v="5"/>
    <x v="1"/>
    <x v="8"/>
    <n v="1"/>
    <n v="120"/>
    <n v="120"/>
  </r>
  <r>
    <n v="1090"/>
    <s v="2025-02-28"/>
    <x v="1"/>
    <x v="5"/>
    <x v="1"/>
    <x v="15"/>
    <n v="1"/>
    <n v="120"/>
    <n v="120"/>
  </r>
  <r>
    <n v="1091"/>
    <s v="2025-01-03"/>
    <x v="1"/>
    <x v="3"/>
    <x v="0"/>
    <x v="1"/>
    <n v="1"/>
    <n v="250"/>
    <n v="250"/>
  </r>
  <r>
    <n v="1092"/>
    <s v="2025-01-19"/>
    <x v="2"/>
    <x v="6"/>
    <x v="0"/>
    <x v="10"/>
    <n v="5"/>
    <n v="600"/>
    <n v="3000"/>
  </r>
  <r>
    <n v="1093"/>
    <s v="2025-01-28"/>
    <x v="0"/>
    <x v="4"/>
    <x v="1"/>
    <x v="4"/>
    <n v="8"/>
    <n v="200"/>
    <n v="1600"/>
  </r>
  <r>
    <n v="1094"/>
    <s v="2025-04-22"/>
    <x v="0"/>
    <x v="0"/>
    <x v="0"/>
    <x v="15"/>
    <n v="3"/>
    <n v="900"/>
    <n v="2700"/>
  </r>
  <r>
    <n v="1095"/>
    <s v="2025-03-04"/>
    <x v="3"/>
    <x v="2"/>
    <x v="1"/>
    <x v="9"/>
    <n v="7"/>
    <n v="350"/>
    <n v="2450"/>
  </r>
  <r>
    <n v="1096"/>
    <s v="2025-01-28"/>
    <x v="0"/>
    <x v="4"/>
    <x v="1"/>
    <x v="9"/>
    <n v="3"/>
    <n v="200"/>
    <n v="600"/>
  </r>
  <r>
    <n v="1097"/>
    <s v="2025-03-08"/>
    <x v="3"/>
    <x v="5"/>
    <x v="1"/>
    <x v="14"/>
    <n v="4"/>
    <n v="120"/>
    <n v="480"/>
  </r>
  <r>
    <n v="1098"/>
    <s v="2025-03-27"/>
    <x v="0"/>
    <x v="0"/>
    <x v="0"/>
    <x v="17"/>
    <n v="3"/>
    <n v="900"/>
    <n v="2700"/>
  </r>
  <r>
    <n v="1099"/>
    <s v="2025-01-09"/>
    <x v="2"/>
    <x v="0"/>
    <x v="0"/>
    <x v="15"/>
    <n v="2"/>
    <n v="900"/>
    <n v="1800"/>
  </r>
  <r>
    <n v="1100"/>
    <s v="2025-04-04"/>
    <x v="0"/>
    <x v="5"/>
    <x v="1"/>
    <x v="7"/>
    <n v="8"/>
    <n v="120"/>
    <n v="960"/>
  </r>
  <r>
    <n v="1101"/>
    <s v="2025-01-13"/>
    <x v="1"/>
    <x v="4"/>
    <x v="1"/>
    <x v="18"/>
    <n v="5"/>
    <n v="200"/>
    <n v="1000"/>
  </r>
  <r>
    <n v="1102"/>
    <s v="2025-03-21"/>
    <x v="3"/>
    <x v="4"/>
    <x v="1"/>
    <x v="5"/>
    <n v="3"/>
    <n v="200"/>
    <n v="600"/>
  </r>
  <r>
    <n v="1103"/>
    <s v="2025-01-18"/>
    <x v="3"/>
    <x v="1"/>
    <x v="0"/>
    <x v="2"/>
    <n v="8"/>
    <n v="300"/>
    <n v="2400"/>
  </r>
  <r>
    <n v="1104"/>
    <s v="2025-01-16"/>
    <x v="1"/>
    <x v="0"/>
    <x v="0"/>
    <x v="7"/>
    <n v="8"/>
    <n v="900"/>
    <n v="7200"/>
  </r>
  <r>
    <n v="1105"/>
    <s v="2025-02-25"/>
    <x v="3"/>
    <x v="1"/>
    <x v="0"/>
    <x v="13"/>
    <n v="4"/>
    <n v="300"/>
    <n v="1200"/>
  </r>
  <r>
    <n v="1106"/>
    <s v="2025-01-04"/>
    <x v="3"/>
    <x v="0"/>
    <x v="0"/>
    <x v="11"/>
    <n v="4"/>
    <n v="900"/>
    <n v="3600"/>
  </r>
  <r>
    <n v="1107"/>
    <s v="2025-01-24"/>
    <x v="0"/>
    <x v="3"/>
    <x v="0"/>
    <x v="8"/>
    <n v="4"/>
    <n v="250"/>
    <n v="1000"/>
  </r>
  <r>
    <n v="1108"/>
    <s v="2025-03-28"/>
    <x v="2"/>
    <x v="6"/>
    <x v="0"/>
    <x v="3"/>
    <n v="8"/>
    <n v="600"/>
    <n v="4800"/>
  </r>
  <r>
    <n v="1109"/>
    <s v="2025-01-06"/>
    <x v="3"/>
    <x v="2"/>
    <x v="1"/>
    <x v="1"/>
    <n v="7"/>
    <n v="350"/>
    <n v="2450"/>
  </r>
  <r>
    <n v="1110"/>
    <s v="2025-02-26"/>
    <x v="0"/>
    <x v="4"/>
    <x v="1"/>
    <x v="9"/>
    <n v="5"/>
    <n v="200"/>
    <n v="1000"/>
  </r>
  <r>
    <n v="1111"/>
    <s v="2025-02-27"/>
    <x v="2"/>
    <x v="1"/>
    <x v="0"/>
    <x v="11"/>
    <n v="7"/>
    <n v="300"/>
    <n v="2100"/>
  </r>
  <r>
    <n v="1112"/>
    <s v="2025-02-08"/>
    <x v="3"/>
    <x v="3"/>
    <x v="0"/>
    <x v="17"/>
    <n v="8"/>
    <n v="250"/>
    <n v="2000"/>
  </r>
  <r>
    <n v="1113"/>
    <s v="2025-01-13"/>
    <x v="3"/>
    <x v="6"/>
    <x v="0"/>
    <x v="18"/>
    <n v="8"/>
    <n v="600"/>
    <n v="4800"/>
  </r>
  <r>
    <n v="1114"/>
    <s v="2025-03-08"/>
    <x v="2"/>
    <x v="1"/>
    <x v="0"/>
    <x v="7"/>
    <n v="2"/>
    <n v="300"/>
    <n v="600"/>
  </r>
  <r>
    <n v="1115"/>
    <s v="2025-04-26"/>
    <x v="1"/>
    <x v="5"/>
    <x v="1"/>
    <x v="19"/>
    <n v="2"/>
    <n v="120"/>
    <n v="240"/>
  </r>
  <r>
    <n v="1116"/>
    <s v="2025-04-19"/>
    <x v="1"/>
    <x v="3"/>
    <x v="0"/>
    <x v="12"/>
    <n v="8"/>
    <n v="250"/>
    <n v="2000"/>
  </r>
  <r>
    <n v="1117"/>
    <s v="2025-01-04"/>
    <x v="1"/>
    <x v="2"/>
    <x v="1"/>
    <x v="8"/>
    <n v="4"/>
    <n v="350"/>
    <n v="1400"/>
  </r>
  <r>
    <n v="1118"/>
    <s v="2025-04-04"/>
    <x v="2"/>
    <x v="3"/>
    <x v="0"/>
    <x v="12"/>
    <n v="4"/>
    <n v="250"/>
    <n v="1000"/>
  </r>
  <r>
    <n v="1119"/>
    <s v="2025-02-01"/>
    <x v="3"/>
    <x v="2"/>
    <x v="1"/>
    <x v="16"/>
    <n v="7"/>
    <n v="350"/>
    <n v="2450"/>
  </r>
  <r>
    <n v="1120"/>
    <s v="2025-03-13"/>
    <x v="0"/>
    <x v="2"/>
    <x v="1"/>
    <x v="7"/>
    <n v="1"/>
    <n v="350"/>
    <n v="3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07576-177C-46F6-912B-2DFDC4425C61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gion">
  <location ref="A1:B6" firstHeaderRow="1" firstDataRow="1" firstDataCol="1"/>
  <pivotFields count="9">
    <pivotField showAll="0"/>
    <pivotField showAll="0"/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dataField="1" numFmtId="164" showAll="0"/>
  </pivotFields>
  <rowFields count="1">
    <field x="2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Total Sales" fld="8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EC291A-95AF-4A8F-93FA-874E4E06D200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s">
  <location ref="A1:B10" firstHeaderRow="1" firstDataRow="1" firstDataCol="1"/>
  <pivotFields count="9">
    <pivotField showAll="0"/>
    <pivotField showAll="0"/>
    <pivotField showAll="0"/>
    <pivotField axis="axisRow" showAll="0" sortType="descending">
      <items count="9">
        <item x="4"/>
        <item x="5"/>
        <item x="2"/>
        <item x="0"/>
        <item x="1"/>
        <item x="6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dataField="1" numFmtId="164" showAll="0"/>
  </pivotFields>
  <rowFields count="1">
    <field x="3"/>
  </rowFields>
  <rowItems count="9">
    <i>
      <x v="3"/>
    </i>
    <i>
      <x v="5"/>
    </i>
    <i>
      <x v="2"/>
    </i>
    <i>
      <x v="4"/>
    </i>
    <i>
      <x v="7"/>
    </i>
    <i>
      <x v="6"/>
    </i>
    <i>
      <x/>
    </i>
    <i>
      <x v="1"/>
    </i>
    <i t="grand">
      <x/>
    </i>
  </rowItems>
  <colItems count="1">
    <i/>
  </colItems>
  <dataFields count="1">
    <dataField name="Sum of Total Sales" fld="8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97D22-E813-49BA-8404-9028FA976606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>
  <location ref="A1:B4" firstHeaderRow="1" firstDataRow="1" firstDataCol="1"/>
  <pivotFields count="9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otal Sales" fld="8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53160-7C27-4892-9DB5-B4CB2B91A1B0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ustomer">
  <location ref="A1:B22" firstHeaderRow="1" firstDataRow="1" firstDataCol="1"/>
  <pivotFields count="9">
    <pivotField showAll="0"/>
    <pivotField showAll="0"/>
    <pivotField showAll="0"/>
    <pivotField showAll="0"/>
    <pivotField showAll="0"/>
    <pivotField axis="axisRow" showAll="0" sortType="descending">
      <items count="21">
        <item x="4"/>
        <item x="10"/>
        <item x="7"/>
        <item x="12"/>
        <item x="18"/>
        <item x="0"/>
        <item x="11"/>
        <item x="13"/>
        <item x="9"/>
        <item x="1"/>
        <item x="17"/>
        <item x="16"/>
        <item x="15"/>
        <item x="19"/>
        <item x="6"/>
        <item x="5"/>
        <item x="3"/>
        <item x="8"/>
        <item x="1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dataField="1" numFmtId="164" showAll="0"/>
  </pivotFields>
  <rowFields count="1">
    <field x="5"/>
  </rowFields>
  <rowItems count="21">
    <i>
      <x v="16"/>
    </i>
    <i>
      <x v="12"/>
    </i>
    <i>
      <x v="4"/>
    </i>
    <i>
      <x v="2"/>
    </i>
    <i>
      <x v="17"/>
    </i>
    <i>
      <x v="7"/>
    </i>
    <i>
      <x v="11"/>
    </i>
    <i>
      <x v="9"/>
    </i>
    <i>
      <x v="15"/>
    </i>
    <i>
      <x v="6"/>
    </i>
    <i>
      <x v="19"/>
    </i>
    <i>
      <x v="1"/>
    </i>
    <i>
      <x v="10"/>
    </i>
    <i>
      <x v="5"/>
    </i>
    <i>
      <x v="3"/>
    </i>
    <i>
      <x v="8"/>
    </i>
    <i>
      <x v="14"/>
    </i>
    <i>
      <x/>
    </i>
    <i>
      <x v="13"/>
    </i>
    <i>
      <x v="18"/>
    </i>
    <i t="grand">
      <x/>
    </i>
  </rowItems>
  <colItems count="1">
    <i/>
  </colItems>
  <dataFields count="1">
    <dataField name="Sum of Total Sales" fld="8" baseField="0" baseItem="0" numFmtId="164"/>
  </dataFields>
  <formats count="1">
    <format dxfId="0">
      <pivotArea dataOnly="0" fieldPosition="0">
        <references count="1">
          <reference field="5" count="1">
            <x v="16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>
      <pane ySplit="1" topLeftCell="A2" activePane="bottomLeft" state="frozen"/>
      <selection pane="bottomLeft" activeCell="L8" sqref="L8"/>
    </sheetView>
  </sheetViews>
  <sheetFormatPr defaultRowHeight="14.5" x14ac:dyDescent="0.35"/>
  <cols>
    <col min="1" max="1" width="10.36328125" style="8" bestFit="1" customWidth="1"/>
    <col min="2" max="2" width="10.08984375" style="8" bestFit="1" customWidth="1"/>
    <col min="3" max="3" width="9.08984375" style="8" bestFit="1" customWidth="1"/>
    <col min="4" max="4" width="9.81640625" style="8" bestFit="1" customWidth="1"/>
    <col min="5" max="5" width="10.7265625" style="8" bestFit="1" customWidth="1"/>
    <col min="6" max="6" width="11.453125" style="8" bestFit="1" customWidth="1"/>
    <col min="7" max="7" width="11.81640625" style="8" bestFit="1" customWidth="1"/>
    <col min="8" max="8" width="11.54296875" style="9" bestFit="1" customWidth="1"/>
    <col min="9" max="9" width="12.26953125" style="9" bestFit="1" customWidth="1"/>
    <col min="10" max="10" width="8.7265625" style="8"/>
    <col min="11" max="11" width="13.7265625" style="9" bestFit="1" customWidth="1"/>
    <col min="12" max="12" width="10.81640625" style="8" bestFit="1" customWidth="1"/>
    <col min="13" max="16384" width="8.7265625" style="8"/>
  </cols>
  <sheetData>
    <row r="1" spans="1:12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K1" s="7" t="s">
        <v>121</v>
      </c>
      <c r="L1" s="9">
        <f>SUM(I2:I121)</f>
        <v>221060</v>
      </c>
    </row>
    <row r="2" spans="1:12" x14ac:dyDescent="0.35">
      <c r="A2" s="8">
        <v>1001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8">
        <v>2</v>
      </c>
      <c r="H2" s="9">
        <v>900</v>
      </c>
      <c r="I2" s="9">
        <f>G2*H2</f>
        <v>1800</v>
      </c>
      <c r="K2" s="8"/>
    </row>
    <row r="3" spans="1:12" x14ac:dyDescent="0.35">
      <c r="A3" s="8">
        <v>1002</v>
      </c>
      <c r="B3" s="8" t="s">
        <v>14</v>
      </c>
      <c r="C3" s="8" t="s">
        <v>15</v>
      </c>
      <c r="D3" s="8" t="s">
        <v>16</v>
      </c>
      <c r="E3" s="8" t="s">
        <v>12</v>
      </c>
      <c r="F3" s="8" t="s">
        <v>17</v>
      </c>
      <c r="G3" s="8">
        <v>8</v>
      </c>
      <c r="H3" s="9">
        <v>300</v>
      </c>
      <c r="I3" s="9">
        <f t="shared" ref="I3:I66" si="0">G3*H3</f>
        <v>2400</v>
      </c>
    </row>
    <row r="4" spans="1:12" x14ac:dyDescent="0.35">
      <c r="A4" s="8">
        <v>1003</v>
      </c>
      <c r="B4" s="8" t="s">
        <v>18</v>
      </c>
      <c r="C4" s="8" t="s">
        <v>15</v>
      </c>
      <c r="D4" s="8" t="s">
        <v>19</v>
      </c>
      <c r="E4" s="8" t="s">
        <v>20</v>
      </c>
      <c r="F4" s="8" t="s">
        <v>21</v>
      </c>
      <c r="G4" s="8">
        <v>6</v>
      </c>
      <c r="H4" s="9">
        <v>350</v>
      </c>
      <c r="I4" s="9">
        <f t="shared" si="0"/>
        <v>2100</v>
      </c>
    </row>
    <row r="5" spans="1:12" x14ac:dyDescent="0.35">
      <c r="A5" s="8">
        <v>1004</v>
      </c>
      <c r="B5" s="8" t="s">
        <v>22</v>
      </c>
      <c r="C5" s="8" t="s">
        <v>10</v>
      </c>
      <c r="D5" s="8" t="s">
        <v>19</v>
      </c>
      <c r="E5" s="8" t="s">
        <v>20</v>
      </c>
      <c r="F5" s="8" t="s">
        <v>23</v>
      </c>
      <c r="G5" s="8">
        <v>2</v>
      </c>
      <c r="H5" s="9">
        <v>350</v>
      </c>
      <c r="I5" s="9">
        <f t="shared" si="0"/>
        <v>700</v>
      </c>
    </row>
    <row r="6" spans="1:12" x14ac:dyDescent="0.35">
      <c r="A6" s="8">
        <v>1005</v>
      </c>
      <c r="B6" s="8" t="s">
        <v>24</v>
      </c>
      <c r="C6" s="8" t="s">
        <v>25</v>
      </c>
      <c r="D6" s="8" t="s">
        <v>26</v>
      </c>
      <c r="E6" s="8" t="s">
        <v>12</v>
      </c>
      <c r="F6" s="8" t="s">
        <v>27</v>
      </c>
      <c r="G6" s="8">
        <v>5</v>
      </c>
      <c r="H6" s="9">
        <v>250</v>
      </c>
      <c r="I6" s="9">
        <f t="shared" si="0"/>
        <v>1250</v>
      </c>
    </row>
    <row r="7" spans="1:12" x14ac:dyDescent="0.35">
      <c r="A7" s="8">
        <v>1006</v>
      </c>
      <c r="B7" s="8" t="s">
        <v>28</v>
      </c>
      <c r="C7" s="8" t="s">
        <v>29</v>
      </c>
      <c r="D7" s="8" t="s">
        <v>30</v>
      </c>
      <c r="E7" s="8" t="s">
        <v>20</v>
      </c>
      <c r="F7" s="8" t="s">
        <v>21</v>
      </c>
      <c r="G7" s="8">
        <v>1</v>
      </c>
      <c r="H7" s="9">
        <v>200</v>
      </c>
      <c r="I7" s="9">
        <f t="shared" si="0"/>
        <v>200</v>
      </c>
    </row>
    <row r="8" spans="1:12" x14ac:dyDescent="0.35">
      <c r="A8" s="8">
        <v>1007</v>
      </c>
      <c r="B8" s="8" t="s">
        <v>31</v>
      </c>
      <c r="C8" s="8" t="s">
        <v>15</v>
      </c>
      <c r="D8" s="8" t="s">
        <v>30</v>
      </c>
      <c r="E8" s="8" t="s">
        <v>20</v>
      </c>
      <c r="F8" s="8" t="s">
        <v>32</v>
      </c>
      <c r="G8" s="8">
        <v>7</v>
      </c>
      <c r="H8" s="9">
        <v>200</v>
      </c>
      <c r="I8" s="9">
        <f t="shared" si="0"/>
        <v>1400</v>
      </c>
    </row>
    <row r="9" spans="1:12" x14ac:dyDescent="0.35">
      <c r="A9" s="8">
        <v>1008</v>
      </c>
      <c r="B9" s="8" t="s">
        <v>33</v>
      </c>
      <c r="C9" s="8" t="s">
        <v>10</v>
      </c>
      <c r="D9" s="8" t="s">
        <v>30</v>
      </c>
      <c r="E9" s="8" t="s">
        <v>20</v>
      </c>
      <c r="F9" s="8" t="s">
        <v>23</v>
      </c>
      <c r="G9" s="8">
        <v>5</v>
      </c>
      <c r="H9" s="9">
        <v>200</v>
      </c>
      <c r="I9" s="9">
        <f t="shared" si="0"/>
        <v>1000</v>
      </c>
    </row>
    <row r="10" spans="1:12" x14ac:dyDescent="0.35">
      <c r="A10" s="8">
        <v>1009</v>
      </c>
      <c r="B10" s="8" t="s">
        <v>34</v>
      </c>
      <c r="C10" s="8" t="s">
        <v>25</v>
      </c>
      <c r="D10" s="8" t="s">
        <v>35</v>
      </c>
      <c r="E10" s="8" t="s">
        <v>20</v>
      </c>
      <c r="F10" s="8" t="s">
        <v>27</v>
      </c>
      <c r="G10" s="8">
        <v>5</v>
      </c>
      <c r="H10" s="9">
        <v>120</v>
      </c>
      <c r="I10" s="9">
        <f t="shared" si="0"/>
        <v>600</v>
      </c>
    </row>
    <row r="11" spans="1:12" x14ac:dyDescent="0.35">
      <c r="A11" s="8">
        <v>1010</v>
      </c>
      <c r="B11" s="8" t="s">
        <v>36</v>
      </c>
      <c r="C11" s="8" t="s">
        <v>25</v>
      </c>
      <c r="D11" s="8" t="s">
        <v>16</v>
      </c>
      <c r="E11" s="8" t="s">
        <v>12</v>
      </c>
      <c r="F11" s="8" t="s">
        <v>17</v>
      </c>
      <c r="G11" s="8">
        <v>7</v>
      </c>
      <c r="H11" s="9">
        <v>300</v>
      </c>
      <c r="I11" s="9">
        <f t="shared" si="0"/>
        <v>2100</v>
      </c>
    </row>
    <row r="12" spans="1:12" x14ac:dyDescent="0.35">
      <c r="A12" s="8">
        <v>1011</v>
      </c>
      <c r="B12" s="8" t="s">
        <v>37</v>
      </c>
      <c r="C12" s="8" t="s">
        <v>10</v>
      </c>
      <c r="D12" s="8" t="s">
        <v>11</v>
      </c>
      <c r="E12" s="8" t="s">
        <v>12</v>
      </c>
      <c r="F12" s="8" t="s">
        <v>38</v>
      </c>
      <c r="G12" s="8">
        <v>1</v>
      </c>
      <c r="H12" s="9">
        <v>900</v>
      </c>
      <c r="I12" s="9">
        <f t="shared" si="0"/>
        <v>900</v>
      </c>
    </row>
    <row r="13" spans="1:12" x14ac:dyDescent="0.35">
      <c r="A13" s="8">
        <v>1012</v>
      </c>
      <c r="B13" s="8" t="s">
        <v>39</v>
      </c>
      <c r="C13" s="8" t="s">
        <v>10</v>
      </c>
      <c r="D13" s="8" t="s">
        <v>11</v>
      </c>
      <c r="E13" s="8" t="s">
        <v>12</v>
      </c>
      <c r="F13" s="8" t="s">
        <v>40</v>
      </c>
      <c r="G13" s="8">
        <v>7</v>
      </c>
      <c r="H13" s="9">
        <v>900</v>
      </c>
      <c r="I13" s="9">
        <f t="shared" si="0"/>
        <v>6300</v>
      </c>
    </row>
    <row r="14" spans="1:12" x14ac:dyDescent="0.35">
      <c r="A14" s="8">
        <v>1013</v>
      </c>
      <c r="B14" s="8" t="s">
        <v>41</v>
      </c>
      <c r="C14" s="8" t="s">
        <v>15</v>
      </c>
      <c r="D14" s="8" t="s">
        <v>11</v>
      </c>
      <c r="E14" s="8" t="s">
        <v>12</v>
      </c>
      <c r="F14" s="8" t="s">
        <v>42</v>
      </c>
      <c r="G14" s="8">
        <v>7</v>
      </c>
      <c r="H14" s="9">
        <v>900</v>
      </c>
      <c r="I14" s="9">
        <f t="shared" si="0"/>
        <v>6300</v>
      </c>
    </row>
    <row r="15" spans="1:12" x14ac:dyDescent="0.35">
      <c r="A15" s="8">
        <v>1014</v>
      </c>
      <c r="B15" s="8" t="s">
        <v>43</v>
      </c>
      <c r="C15" s="8" t="s">
        <v>29</v>
      </c>
      <c r="D15" s="8" t="s">
        <v>30</v>
      </c>
      <c r="E15" s="8" t="s">
        <v>20</v>
      </c>
      <c r="F15" s="8" t="s">
        <v>44</v>
      </c>
      <c r="G15" s="8">
        <v>6</v>
      </c>
      <c r="H15" s="9">
        <v>200</v>
      </c>
      <c r="I15" s="9">
        <f t="shared" si="0"/>
        <v>1200</v>
      </c>
    </row>
    <row r="16" spans="1:12" x14ac:dyDescent="0.35">
      <c r="A16" s="8">
        <v>1015</v>
      </c>
      <c r="B16" s="8" t="s">
        <v>45</v>
      </c>
      <c r="C16" s="8" t="s">
        <v>10</v>
      </c>
      <c r="D16" s="8" t="s">
        <v>16</v>
      </c>
      <c r="E16" s="8" t="s">
        <v>12</v>
      </c>
      <c r="F16" s="8" t="s">
        <v>23</v>
      </c>
      <c r="G16" s="8">
        <v>7</v>
      </c>
      <c r="H16" s="9">
        <v>300</v>
      </c>
      <c r="I16" s="9">
        <f t="shared" si="0"/>
        <v>2100</v>
      </c>
    </row>
    <row r="17" spans="1:9" x14ac:dyDescent="0.35">
      <c r="A17" s="8">
        <v>1016</v>
      </c>
      <c r="B17" s="8" t="s">
        <v>24</v>
      </c>
      <c r="C17" s="8" t="s">
        <v>29</v>
      </c>
      <c r="D17" s="8" t="s">
        <v>11</v>
      </c>
      <c r="E17" s="8" t="s">
        <v>12</v>
      </c>
      <c r="F17" s="8" t="s">
        <v>46</v>
      </c>
      <c r="G17" s="8">
        <v>5</v>
      </c>
      <c r="H17" s="9">
        <v>900</v>
      </c>
      <c r="I17" s="9">
        <f t="shared" si="0"/>
        <v>4500</v>
      </c>
    </row>
    <row r="18" spans="1:9" x14ac:dyDescent="0.35">
      <c r="A18" s="8">
        <v>1017</v>
      </c>
      <c r="B18" s="8" t="s">
        <v>47</v>
      </c>
      <c r="C18" s="8" t="s">
        <v>25</v>
      </c>
      <c r="D18" s="8" t="s">
        <v>48</v>
      </c>
      <c r="E18" s="8" t="s">
        <v>12</v>
      </c>
      <c r="F18" s="8" t="s">
        <v>49</v>
      </c>
      <c r="G18" s="8">
        <v>2</v>
      </c>
      <c r="H18" s="9">
        <v>600</v>
      </c>
      <c r="I18" s="9">
        <f t="shared" si="0"/>
        <v>1200</v>
      </c>
    </row>
    <row r="19" spans="1:9" x14ac:dyDescent="0.35">
      <c r="A19" s="8">
        <v>1018</v>
      </c>
      <c r="B19" s="8" t="s">
        <v>50</v>
      </c>
      <c r="C19" s="8" t="s">
        <v>25</v>
      </c>
      <c r="D19" s="8" t="s">
        <v>48</v>
      </c>
      <c r="E19" s="8" t="s">
        <v>12</v>
      </c>
      <c r="F19" s="8" t="s">
        <v>23</v>
      </c>
      <c r="G19" s="8">
        <v>4</v>
      </c>
      <c r="H19" s="9">
        <v>600</v>
      </c>
      <c r="I19" s="9">
        <f t="shared" si="0"/>
        <v>2400</v>
      </c>
    </row>
    <row r="20" spans="1:9" x14ac:dyDescent="0.35">
      <c r="A20" s="8">
        <v>1019</v>
      </c>
      <c r="B20" s="8" t="s">
        <v>51</v>
      </c>
      <c r="C20" s="8" t="s">
        <v>29</v>
      </c>
      <c r="D20" s="8" t="s">
        <v>16</v>
      </c>
      <c r="E20" s="8" t="s">
        <v>12</v>
      </c>
      <c r="F20" s="8" t="s">
        <v>23</v>
      </c>
      <c r="G20" s="8">
        <v>3</v>
      </c>
      <c r="H20" s="9">
        <v>300</v>
      </c>
      <c r="I20" s="9">
        <f t="shared" si="0"/>
        <v>900</v>
      </c>
    </row>
    <row r="21" spans="1:9" x14ac:dyDescent="0.35">
      <c r="A21" s="8">
        <v>1020</v>
      </c>
      <c r="B21" s="8" t="s">
        <v>43</v>
      </c>
      <c r="C21" s="8" t="s">
        <v>15</v>
      </c>
      <c r="D21" s="8" t="s">
        <v>48</v>
      </c>
      <c r="E21" s="8" t="s">
        <v>12</v>
      </c>
      <c r="F21" s="8" t="s">
        <v>38</v>
      </c>
      <c r="G21" s="8">
        <v>2</v>
      </c>
      <c r="H21" s="9">
        <v>600</v>
      </c>
      <c r="I21" s="9">
        <f t="shared" si="0"/>
        <v>1200</v>
      </c>
    </row>
    <row r="22" spans="1:9" x14ac:dyDescent="0.35">
      <c r="A22" s="8">
        <v>1021</v>
      </c>
      <c r="B22" s="8" t="s">
        <v>52</v>
      </c>
      <c r="C22" s="8" t="s">
        <v>25</v>
      </c>
      <c r="D22" s="8" t="s">
        <v>35</v>
      </c>
      <c r="E22" s="8" t="s">
        <v>20</v>
      </c>
      <c r="F22" s="8" t="s">
        <v>53</v>
      </c>
      <c r="G22" s="8">
        <v>3</v>
      </c>
      <c r="H22" s="9">
        <v>120</v>
      </c>
      <c r="I22" s="9">
        <f t="shared" si="0"/>
        <v>360</v>
      </c>
    </row>
    <row r="23" spans="1:9" x14ac:dyDescent="0.35">
      <c r="A23" s="8">
        <v>1022</v>
      </c>
      <c r="B23" s="8" t="s">
        <v>54</v>
      </c>
      <c r="C23" s="8" t="s">
        <v>15</v>
      </c>
      <c r="D23" s="8" t="s">
        <v>30</v>
      </c>
      <c r="E23" s="8" t="s">
        <v>20</v>
      </c>
      <c r="F23" s="8" t="s">
        <v>17</v>
      </c>
      <c r="G23" s="8">
        <v>7</v>
      </c>
      <c r="H23" s="9">
        <v>200</v>
      </c>
      <c r="I23" s="9">
        <f t="shared" si="0"/>
        <v>1400</v>
      </c>
    </row>
    <row r="24" spans="1:9" x14ac:dyDescent="0.35">
      <c r="A24" s="8">
        <v>1023</v>
      </c>
      <c r="B24" s="8" t="s">
        <v>55</v>
      </c>
      <c r="C24" s="8" t="s">
        <v>10</v>
      </c>
      <c r="D24" s="8" t="s">
        <v>19</v>
      </c>
      <c r="E24" s="8" t="s">
        <v>20</v>
      </c>
      <c r="F24" s="8" t="s">
        <v>32</v>
      </c>
      <c r="G24" s="8">
        <v>8</v>
      </c>
      <c r="H24" s="9">
        <v>350</v>
      </c>
      <c r="I24" s="9">
        <f t="shared" si="0"/>
        <v>2800</v>
      </c>
    </row>
    <row r="25" spans="1:9" x14ac:dyDescent="0.35">
      <c r="A25" s="8">
        <v>1024</v>
      </c>
      <c r="B25" s="8" t="s">
        <v>55</v>
      </c>
      <c r="C25" s="8" t="s">
        <v>15</v>
      </c>
      <c r="D25" s="8" t="s">
        <v>26</v>
      </c>
      <c r="E25" s="8" t="s">
        <v>12</v>
      </c>
      <c r="F25" s="8" t="s">
        <v>56</v>
      </c>
      <c r="G25" s="8">
        <v>4</v>
      </c>
      <c r="H25" s="9">
        <v>250</v>
      </c>
      <c r="I25" s="9">
        <f t="shared" si="0"/>
        <v>1000</v>
      </c>
    </row>
    <row r="26" spans="1:9" x14ac:dyDescent="0.35">
      <c r="A26" s="8">
        <v>1025</v>
      </c>
      <c r="B26" s="8" t="s">
        <v>45</v>
      </c>
      <c r="C26" s="8" t="s">
        <v>25</v>
      </c>
      <c r="D26" s="8" t="s">
        <v>48</v>
      </c>
      <c r="E26" s="8" t="s">
        <v>12</v>
      </c>
      <c r="F26" s="8" t="s">
        <v>56</v>
      </c>
      <c r="G26" s="8">
        <v>7</v>
      </c>
      <c r="H26" s="9">
        <v>600</v>
      </c>
      <c r="I26" s="9">
        <f t="shared" si="0"/>
        <v>4200</v>
      </c>
    </row>
    <row r="27" spans="1:9" x14ac:dyDescent="0.35">
      <c r="A27" s="8">
        <v>1026</v>
      </c>
      <c r="B27" s="8" t="s">
        <v>57</v>
      </c>
      <c r="C27" s="8" t="s">
        <v>25</v>
      </c>
      <c r="D27" s="8" t="s">
        <v>30</v>
      </c>
      <c r="E27" s="8" t="s">
        <v>20</v>
      </c>
      <c r="F27" s="8" t="s">
        <v>40</v>
      </c>
      <c r="G27" s="8">
        <v>3</v>
      </c>
      <c r="H27" s="9">
        <v>200</v>
      </c>
      <c r="I27" s="9">
        <f t="shared" si="0"/>
        <v>600</v>
      </c>
    </row>
    <row r="28" spans="1:9" x14ac:dyDescent="0.35">
      <c r="A28" s="8">
        <v>1027</v>
      </c>
      <c r="B28" s="8" t="s">
        <v>58</v>
      </c>
      <c r="C28" s="8" t="s">
        <v>15</v>
      </c>
      <c r="D28" s="8" t="s">
        <v>59</v>
      </c>
      <c r="E28" s="8" t="s">
        <v>12</v>
      </c>
      <c r="F28" s="8" t="s">
        <v>56</v>
      </c>
      <c r="G28" s="8">
        <v>7</v>
      </c>
      <c r="H28" s="9">
        <v>400</v>
      </c>
      <c r="I28" s="9">
        <f t="shared" si="0"/>
        <v>2800</v>
      </c>
    </row>
    <row r="29" spans="1:9" x14ac:dyDescent="0.35">
      <c r="A29" s="8">
        <v>1028</v>
      </c>
      <c r="B29" s="8" t="s">
        <v>60</v>
      </c>
      <c r="C29" s="8" t="s">
        <v>29</v>
      </c>
      <c r="D29" s="8" t="s">
        <v>35</v>
      </c>
      <c r="E29" s="8" t="s">
        <v>20</v>
      </c>
      <c r="F29" s="8" t="s">
        <v>40</v>
      </c>
      <c r="G29" s="8">
        <v>2</v>
      </c>
      <c r="H29" s="9">
        <v>120</v>
      </c>
      <c r="I29" s="9">
        <f t="shared" si="0"/>
        <v>240</v>
      </c>
    </row>
    <row r="30" spans="1:9" x14ac:dyDescent="0.35">
      <c r="A30" s="8">
        <v>1029</v>
      </c>
      <c r="B30" s="8" t="s">
        <v>61</v>
      </c>
      <c r="C30" s="8" t="s">
        <v>10</v>
      </c>
      <c r="D30" s="8" t="s">
        <v>59</v>
      </c>
      <c r="E30" s="8" t="s">
        <v>12</v>
      </c>
      <c r="F30" s="8" t="s">
        <v>42</v>
      </c>
      <c r="G30" s="8">
        <v>7</v>
      </c>
      <c r="H30" s="9">
        <v>400</v>
      </c>
      <c r="I30" s="9">
        <f t="shared" si="0"/>
        <v>2800</v>
      </c>
    </row>
    <row r="31" spans="1:9" x14ac:dyDescent="0.35">
      <c r="A31" s="8">
        <v>1030</v>
      </c>
      <c r="B31" s="8" t="s">
        <v>62</v>
      </c>
      <c r="C31" s="8" t="s">
        <v>29</v>
      </c>
      <c r="D31" s="8" t="s">
        <v>26</v>
      </c>
      <c r="E31" s="8" t="s">
        <v>12</v>
      </c>
      <c r="F31" s="8" t="s">
        <v>32</v>
      </c>
      <c r="G31" s="8">
        <v>8</v>
      </c>
      <c r="H31" s="9">
        <v>250</v>
      </c>
      <c r="I31" s="9">
        <f t="shared" si="0"/>
        <v>2000</v>
      </c>
    </row>
    <row r="32" spans="1:9" x14ac:dyDescent="0.35">
      <c r="A32" s="8">
        <v>1031</v>
      </c>
      <c r="B32" s="8" t="s">
        <v>63</v>
      </c>
      <c r="C32" s="8" t="s">
        <v>15</v>
      </c>
      <c r="D32" s="8" t="s">
        <v>16</v>
      </c>
      <c r="E32" s="8" t="s">
        <v>12</v>
      </c>
      <c r="F32" s="8" t="s">
        <v>64</v>
      </c>
      <c r="G32" s="8">
        <v>3</v>
      </c>
      <c r="H32" s="9">
        <v>300</v>
      </c>
      <c r="I32" s="9">
        <f t="shared" si="0"/>
        <v>900</v>
      </c>
    </row>
    <row r="33" spans="1:9" x14ac:dyDescent="0.35">
      <c r="A33" s="8">
        <v>1032</v>
      </c>
      <c r="B33" s="8" t="s">
        <v>65</v>
      </c>
      <c r="C33" s="8" t="s">
        <v>25</v>
      </c>
      <c r="D33" s="8" t="s">
        <v>30</v>
      </c>
      <c r="E33" s="8" t="s">
        <v>20</v>
      </c>
      <c r="F33" s="8" t="s">
        <v>53</v>
      </c>
      <c r="G33" s="8">
        <v>6</v>
      </c>
      <c r="H33" s="9">
        <v>200</v>
      </c>
      <c r="I33" s="9">
        <f t="shared" si="0"/>
        <v>1200</v>
      </c>
    </row>
    <row r="34" spans="1:9" x14ac:dyDescent="0.35">
      <c r="A34" s="8">
        <v>1033</v>
      </c>
      <c r="B34" s="8" t="s">
        <v>66</v>
      </c>
      <c r="C34" s="8" t="s">
        <v>25</v>
      </c>
      <c r="D34" s="8" t="s">
        <v>30</v>
      </c>
      <c r="E34" s="8" t="s">
        <v>20</v>
      </c>
      <c r="F34" s="8" t="s">
        <v>67</v>
      </c>
      <c r="G34" s="8">
        <v>2</v>
      </c>
      <c r="H34" s="9">
        <v>200</v>
      </c>
      <c r="I34" s="9">
        <f t="shared" si="0"/>
        <v>400</v>
      </c>
    </row>
    <row r="35" spans="1:9" x14ac:dyDescent="0.35">
      <c r="A35" s="8">
        <v>1034</v>
      </c>
      <c r="B35" s="8" t="s">
        <v>68</v>
      </c>
      <c r="C35" s="8" t="s">
        <v>25</v>
      </c>
      <c r="D35" s="8" t="s">
        <v>11</v>
      </c>
      <c r="E35" s="8" t="s">
        <v>12</v>
      </c>
      <c r="F35" s="8" t="s">
        <v>23</v>
      </c>
      <c r="G35" s="8">
        <v>6</v>
      </c>
      <c r="H35" s="9">
        <v>900</v>
      </c>
      <c r="I35" s="9">
        <f t="shared" si="0"/>
        <v>5400</v>
      </c>
    </row>
    <row r="36" spans="1:9" x14ac:dyDescent="0.35">
      <c r="A36" s="8">
        <v>1035</v>
      </c>
      <c r="B36" s="8" t="s">
        <v>69</v>
      </c>
      <c r="C36" s="8" t="s">
        <v>10</v>
      </c>
      <c r="D36" s="8" t="s">
        <v>11</v>
      </c>
      <c r="E36" s="8" t="s">
        <v>12</v>
      </c>
      <c r="F36" s="8" t="s">
        <v>42</v>
      </c>
      <c r="G36" s="8">
        <v>6</v>
      </c>
      <c r="H36" s="9">
        <v>900</v>
      </c>
      <c r="I36" s="9">
        <f t="shared" si="0"/>
        <v>5400</v>
      </c>
    </row>
    <row r="37" spans="1:9" x14ac:dyDescent="0.35">
      <c r="A37" s="8">
        <v>1036</v>
      </c>
      <c r="B37" s="8" t="s">
        <v>70</v>
      </c>
      <c r="C37" s="8" t="s">
        <v>15</v>
      </c>
      <c r="D37" s="8" t="s">
        <v>26</v>
      </c>
      <c r="E37" s="8" t="s">
        <v>12</v>
      </c>
      <c r="F37" s="8" t="s">
        <v>56</v>
      </c>
      <c r="G37" s="8">
        <v>8</v>
      </c>
      <c r="H37" s="9">
        <v>250</v>
      </c>
      <c r="I37" s="9">
        <f t="shared" si="0"/>
        <v>2000</v>
      </c>
    </row>
    <row r="38" spans="1:9" x14ac:dyDescent="0.35">
      <c r="A38" s="8">
        <v>1037</v>
      </c>
      <c r="B38" s="8" t="s">
        <v>71</v>
      </c>
      <c r="C38" s="8" t="s">
        <v>29</v>
      </c>
      <c r="D38" s="8" t="s">
        <v>26</v>
      </c>
      <c r="E38" s="8" t="s">
        <v>12</v>
      </c>
      <c r="F38" s="8" t="s">
        <v>32</v>
      </c>
      <c r="G38" s="8">
        <v>3</v>
      </c>
      <c r="H38" s="9">
        <v>250</v>
      </c>
      <c r="I38" s="9">
        <f t="shared" si="0"/>
        <v>750</v>
      </c>
    </row>
    <row r="39" spans="1:9" x14ac:dyDescent="0.35">
      <c r="A39" s="8">
        <v>1038</v>
      </c>
      <c r="B39" s="8" t="s">
        <v>50</v>
      </c>
      <c r="C39" s="8" t="s">
        <v>10</v>
      </c>
      <c r="D39" s="8" t="s">
        <v>16</v>
      </c>
      <c r="E39" s="8" t="s">
        <v>12</v>
      </c>
      <c r="F39" s="8" t="s">
        <v>72</v>
      </c>
      <c r="G39" s="8">
        <v>2</v>
      </c>
      <c r="H39" s="9">
        <v>300</v>
      </c>
      <c r="I39" s="9">
        <f t="shared" si="0"/>
        <v>600</v>
      </c>
    </row>
    <row r="40" spans="1:9" x14ac:dyDescent="0.35">
      <c r="A40" s="8">
        <v>1039</v>
      </c>
      <c r="B40" s="8" t="s">
        <v>68</v>
      </c>
      <c r="C40" s="8" t="s">
        <v>15</v>
      </c>
      <c r="D40" s="8" t="s">
        <v>19</v>
      </c>
      <c r="E40" s="8" t="s">
        <v>20</v>
      </c>
      <c r="F40" s="8" t="s">
        <v>67</v>
      </c>
      <c r="G40" s="8">
        <v>8</v>
      </c>
      <c r="H40" s="9">
        <v>350</v>
      </c>
      <c r="I40" s="9">
        <f t="shared" si="0"/>
        <v>2800</v>
      </c>
    </row>
    <row r="41" spans="1:9" x14ac:dyDescent="0.35">
      <c r="A41" s="8">
        <v>1040</v>
      </c>
      <c r="B41" s="8" t="s">
        <v>73</v>
      </c>
      <c r="C41" s="8" t="s">
        <v>25</v>
      </c>
      <c r="D41" s="8" t="s">
        <v>26</v>
      </c>
      <c r="E41" s="8" t="s">
        <v>12</v>
      </c>
      <c r="F41" s="8" t="s">
        <v>32</v>
      </c>
      <c r="G41" s="8">
        <v>2</v>
      </c>
      <c r="H41" s="9">
        <v>250</v>
      </c>
      <c r="I41" s="9">
        <f t="shared" si="0"/>
        <v>500</v>
      </c>
    </row>
    <row r="42" spans="1:9" x14ac:dyDescent="0.35">
      <c r="A42" s="8">
        <v>1041</v>
      </c>
      <c r="B42" s="8" t="s">
        <v>74</v>
      </c>
      <c r="C42" s="8" t="s">
        <v>25</v>
      </c>
      <c r="D42" s="8" t="s">
        <v>48</v>
      </c>
      <c r="E42" s="8" t="s">
        <v>12</v>
      </c>
      <c r="F42" s="8" t="s">
        <v>75</v>
      </c>
      <c r="G42" s="8">
        <v>7</v>
      </c>
      <c r="H42" s="9">
        <v>600</v>
      </c>
      <c r="I42" s="9">
        <f t="shared" si="0"/>
        <v>4200</v>
      </c>
    </row>
    <row r="43" spans="1:9" x14ac:dyDescent="0.35">
      <c r="A43" s="8">
        <v>1042</v>
      </c>
      <c r="B43" s="8" t="s">
        <v>24</v>
      </c>
      <c r="C43" s="8" t="s">
        <v>10</v>
      </c>
      <c r="D43" s="8" t="s">
        <v>26</v>
      </c>
      <c r="E43" s="8" t="s">
        <v>12</v>
      </c>
      <c r="F43" s="8" t="s">
        <v>23</v>
      </c>
      <c r="G43" s="8">
        <v>5</v>
      </c>
      <c r="H43" s="9">
        <v>250</v>
      </c>
      <c r="I43" s="9">
        <f t="shared" si="0"/>
        <v>1250</v>
      </c>
    </row>
    <row r="44" spans="1:9" x14ac:dyDescent="0.35">
      <c r="A44" s="8">
        <v>1043</v>
      </c>
      <c r="B44" s="8" t="s">
        <v>39</v>
      </c>
      <c r="C44" s="8" t="s">
        <v>10</v>
      </c>
      <c r="D44" s="8" t="s">
        <v>26</v>
      </c>
      <c r="E44" s="8" t="s">
        <v>12</v>
      </c>
      <c r="F44" s="8" t="s">
        <v>72</v>
      </c>
      <c r="G44" s="8">
        <v>3</v>
      </c>
      <c r="H44" s="9">
        <v>250</v>
      </c>
      <c r="I44" s="9">
        <f t="shared" si="0"/>
        <v>750</v>
      </c>
    </row>
    <row r="45" spans="1:9" x14ac:dyDescent="0.35">
      <c r="A45" s="8">
        <v>1044</v>
      </c>
      <c r="B45" s="8" t="s">
        <v>76</v>
      </c>
      <c r="C45" s="8" t="s">
        <v>29</v>
      </c>
      <c r="D45" s="8" t="s">
        <v>59</v>
      </c>
      <c r="E45" s="8" t="s">
        <v>12</v>
      </c>
      <c r="F45" s="8" t="s">
        <v>17</v>
      </c>
      <c r="G45" s="8">
        <v>2</v>
      </c>
      <c r="H45" s="9">
        <v>400</v>
      </c>
      <c r="I45" s="9">
        <f t="shared" si="0"/>
        <v>800</v>
      </c>
    </row>
    <row r="46" spans="1:9" x14ac:dyDescent="0.35">
      <c r="A46" s="8">
        <v>1045</v>
      </c>
      <c r="B46" s="8" t="s">
        <v>69</v>
      </c>
      <c r="C46" s="8" t="s">
        <v>29</v>
      </c>
      <c r="D46" s="8" t="s">
        <v>11</v>
      </c>
      <c r="E46" s="8" t="s">
        <v>12</v>
      </c>
      <c r="F46" s="8" t="s">
        <v>42</v>
      </c>
      <c r="G46" s="8">
        <v>1</v>
      </c>
      <c r="H46" s="9">
        <v>900</v>
      </c>
      <c r="I46" s="9">
        <f t="shared" si="0"/>
        <v>900</v>
      </c>
    </row>
    <row r="47" spans="1:9" x14ac:dyDescent="0.35">
      <c r="A47" s="8">
        <v>1046</v>
      </c>
      <c r="B47" s="8" t="s">
        <v>77</v>
      </c>
      <c r="C47" s="8" t="s">
        <v>15</v>
      </c>
      <c r="D47" s="8" t="s">
        <v>11</v>
      </c>
      <c r="E47" s="8" t="s">
        <v>12</v>
      </c>
      <c r="F47" s="8" t="s">
        <v>78</v>
      </c>
      <c r="G47" s="8">
        <v>6</v>
      </c>
      <c r="H47" s="9">
        <v>900</v>
      </c>
      <c r="I47" s="9">
        <f t="shared" si="0"/>
        <v>5400</v>
      </c>
    </row>
    <row r="48" spans="1:9" x14ac:dyDescent="0.35">
      <c r="A48" s="8">
        <v>1047</v>
      </c>
      <c r="B48" s="8" t="s">
        <v>79</v>
      </c>
      <c r="C48" s="8" t="s">
        <v>25</v>
      </c>
      <c r="D48" s="8" t="s">
        <v>19</v>
      </c>
      <c r="E48" s="8" t="s">
        <v>20</v>
      </c>
      <c r="F48" s="8" t="s">
        <v>46</v>
      </c>
      <c r="G48" s="8">
        <v>7</v>
      </c>
      <c r="H48" s="9">
        <v>350</v>
      </c>
      <c r="I48" s="9">
        <f t="shared" si="0"/>
        <v>2450</v>
      </c>
    </row>
    <row r="49" spans="1:9" x14ac:dyDescent="0.35">
      <c r="A49" s="8">
        <v>1048</v>
      </c>
      <c r="B49" s="8" t="s">
        <v>33</v>
      </c>
      <c r="C49" s="8" t="s">
        <v>25</v>
      </c>
      <c r="D49" s="8" t="s">
        <v>30</v>
      </c>
      <c r="E49" s="8" t="s">
        <v>20</v>
      </c>
      <c r="F49" s="8" t="s">
        <v>32</v>
      </c>
      <c r="G49" s="8">
        <v>3</v>
      </c>
      <c r="H49" s="9">
        <v>200</v>
      </c>
      <c r="I49" s="9">
        <f t="shared" si="0"/>
        <v>600</v>
      </c>
    </row>
    <row r="50" spans="1:9" x14ac:dyDescent="0.35">
      <c r="A50" s="8">
        <v>1049</v>
      </c>
      <c r="B50" s="8" t="s">
        <v>80</v>
      </c>
      <c r="C50" s="8" t="s">
        <v>29</v>
      </c>
      <c r="D50" s="8" t="s">
        <v>16</v>
      </c>
      <c r="E50" s="8" t="s">
        <v>12</v>
      </c>
      <c r="F50" s="8" t="s">
        <v>78</v>
      </c>
      <c r="G50" s="8">
        <v>1</v>
      </c>
      <c r="H50" s="9">
        <v>300</v>
      </c>
      <c r="I50" s="9">
        <f t="shared" si="0"/>
        <v>300</v>
      </c>
    </row>
    <row r="51" spans="1:9" x14ac:dyDescent="0.35">
      <c r="A51" s="8">
        <v>1050</v>
      </c>
      <c r="B51" s="8" t="s">
        <v>81</v>
      </c>
      <c r="C51" s="8" t="s">
        <v>10</v>
      </c>
      <c r="D51" s="8" t="s">
        <v>16</v>
      </c>
      <c r="E51" s="8" t="s">
        <v>12</v>
      </c>
      <c r="F51" s="8" t="s">
        <v>82</v>
      </c>
      <c r="G51" s="8">
        <v>8</v>
      </c>
      <c r="H51" s="9">
        <v>300</v>
      </c>
      <c r="I51" s="9">
        <f t="shared" si="0"/>
        <v>2400</v>
      </c>
    </row>
    <row r="52" spans="1:9" x14ac:dyDescent="0.35">
      <c r="A52" s="8">
        <v>1051</v>
      </c>
      <c r="B52" s="8" t="s">
        <v>39</v>
      </c>
      <c r="C52" s="8" t="s">
        <v>25</v>
      </c>
      <c r="D52" s="8" t="s">
        <v>48</v>
      </c>
      <c r="E52" s="8" t="s">
        <v>12</v>
      </c>
      <c r="F52" s="8" t="s">
        <v>78</v>
      </c>
      <c r="G52" s="8">
        <v>6</v>
      </c>
      <c r="H52" s="9">
        <v>600</v>
      </c>
      <c r="I52" s="9">
        <f t="shared" si="0"/>
        <v>3600</v>
      </c>
    </row>
    <row r="53" spans="1:9" x14ac:dyDescent="0.35">
      <c r="A53" s="8">
        <v>1052</v>
      </c>
      <c r="B53" s="8" t="s">
        <v>54</v>
      </c>
      <c r="C53" s="8" t="s">
        <v>29</v>
      </c>
      <c r="D53" s="8" t="s">
        <v>48</v>
      </c>
      <c r="E53" s="8" t="s">
        <v>12</v>
      </c>
      <c r="F53" s="8" t="s">
        <v>67</v>
      </c>
      <c r="G53" s="8">
        <v>8</v>
      </c>
      <c r="H53" s="9">
        <v>600</v>
      </c>
      <c r="I53" s="9">
        <f t="shared" si="0"/>
        <v>4800</v>
      </c>
    </row>
    <row r="54" spans="1:9" x14ac:dyDescent="0.35">
      <c r="A54" s="8">
        <v>1053</v>
      </c>
      <c r="B54" s="8" t="s">
        <v>83</v>
      </c>
      <c r="C54" s="8" t="s">
        <v>10</v>
      </c>
      <c r="D54" s="8" t="s">
        <v>35</v>
      </c>
      <c r="E54" s="8" t="s">
        <v>20</v>
      </c>
      <c r="F54" s="8" t="s">
        <v>56</v>
      </c>
      <c r="G54" s="8">
        <v>2</v>
      </c>
      <c r="H54" s="9">
        <v>120</v>
      </c>
      <c r="I54" s="9">
        <f t="shared" si="0"/>
        <v>240</v>
      </c>
    </row>
    <row r="55" spans="1:9" x14ac:dyDescent="0.35">
      <c r="A55" s="8">
        <v>1054</v>
      </c>
      <c r="B55" s="8" t="s">
        <v>66</v>
      </c>
      <c r="C55" s="8" t="s">
        <v>29</v>
      </c>
      <c r="D55" s="8" t="s">
        <v>11</v>
      </c>
      <c r="E55" s="8" t="s">
        <v>12</v>
      </c>
      <c r="F55" s="8" t="s">
        <v>40</v>
      </c>
      <c r="G55" s="8">
        <v>2</v>
      </c>
      <c r="H55" s="9">
        <v>900</v>
      </c>
      <c r="I55" s="9">
        <f t="shared" si="0"/>
        <v>1800</v>
      </c>
    </row>
    <row r="56" spans="1:9" x14ac:dyDescent="0.35">
      <c r="A56" s="8">
        <v>1055</v>
      </c>
      <c r="B56" s="8" t="s">
        <v>84</v>
      </c>
      <c r="C56" s="8" t="s">
        <v>25</v>
      </c>
      <c r="D56" s="8" t="s">
        <v>16</v>
      </c>
      <c r="E56" s="8" t="s">
        <v>12</v>
      </c>
      <c r="F56" s="8" t="s">
        <v>49</v>
      </c>
      <c r="G56" s="8">
        <v>6</v>
      </c>
      <c r="H56" s="9">
        <v>300</v>
      </c>
      <c r="I56" s="9">
        <f t="shared" si="0"/>
        <v>1800</v>
      </c>
    </row>
    <row r="57" spans="1:9" x14ac:dyDescent="0.35">
      <c r="A57" s="8">
        <v>1056</v>
      </c>
      <c r="B57" s="8" t="s">
        <v>85</v>
      </c>
      <c r="C57" s="8" t="s">
        <v>10</v>
      </c>
      <c r="D57" s="8" t="s">
        <v>35</v>
      </c>
      <c r="E57" s="8" t="s">
        <v>20</v>
      </c>
      <c r="F57" s="8" t="s">
        <v>38</v>
      </c>
      <c r="G57" s="8">
        <v>6</v>
      </c>
      <c r="H57" s="9">
        <v>120</v>
      </c>
      <c r="I57" s="9">
        <f t="shared" si="0"/>
        <v>720</v>
      </c>
    </row>
    <row r="58" spans="1:9" x14ac:dyDescent="0.35">
      <c r="A58" s="8">
        <v>1057</v>
      </c>
      <c r="B58" s="8" t="s">
        <v>80</v>
      </c>
      <c r="C58" s="8" t="s">
        <v>15</v>
      </c>
      <c r="D58" s="8" t="s">
        <v>48</v>
      </c>
      <c r="E58" s="8" t="s">
        <v>12</v>
      </c>
      <c r="F58" s="8" t="s">
        <v>21</v>
      </c>
      <c r="G58" s="8">
        <v>7</v>
      </c>
      <c r="H58" s="9">
        <v>600</v>
      </c>
      <c r="I58" s="9">
        <f t="shared" si="0"/>
        <v>4200</v>
      </c>
    </row>
    <row r="59" spans="1:9" x14ac:dyDescent="0.35">
      <c r="A59" s="8">
        <v>1058</v>
      </c>
      <c r="B59" s="8" t="s">
        <v>86</v>
      </c>
      <c r="C59" s="8" t="s">
        <v>29</v>
      </c>
      <c r="D59" s="8" t="s">
        <v>59</v>
      </c>
      <c r="E59" s="8" t="s">
        <v>12</v>
      </c>
      <c r="F59" s="8" t="s">
        <v>67</v>
      </c>
      <c r="G59" s="8">
        <v>7</v>
      </c>
      <c r="H59" s="9">
        <v>400</v>
      </c>
      <c r="I59" s="9">
        <f t="shared" si="0"/>
        <v>2800</v>
      </c>
    </row>
    <row r="60" spans="1:9" x14ac:dyDescent="0.35">
      <c r="A60" s="8">
        <v>1059</v>
      </c>
      <c r="B60" s="8" t="s">
        <v>87</v>
      </c>
      <c r="C60" s="8" t="s">
        <v>10</v>
      </c>
      <c r="D60" s="8" t="s">
        <v>19</v>
      </c>
      <c r="E60" s="8" t="s">
        <v>20</v>
      </c>
      <c r="F60" s="8" t="s">
        <v>21</v>
      </c>
      <c r="G60" s="8">
        <v>3</v>
      </c>
      <c r="H60" s="9">
        <v>350</v>
      </c>
      <c r="I60" s="9">
        <f t="shared" si="0"/>
        <v>1050</v>
      </c>
    </row>
    <row r="61" spans="1:9" x14ac:dyDescent="0.35">
      <c r="A61" s="8">
        <v>1060</v>
      </c>
      <c r="B61" s="8" t="s">
        <v>88</v>
      </c>
      <c r="C61" s="8" t="s">
        <v>25</v>
      </c>
      <c r="D61" s="8" t="s">
        <v>48</v>
      </c>
      <c r="E61" s="8" t="s">
        <v>12</v>
      </c>
      <c r="F61" s="8" t="s">
        <v>56</v>
      </c>
      <c r="G61" s="8">
        <v>4</v>
      </c>
      <c r="H61" s="9">
        <v>600</v>
      </c>
      <c r="I61" s="9">
        <f t="shared" si="0"/>
        <v>2400</v>
      </c>
    </row>
    <row r="62" spans="1:9" x14ac:dyDescent="0.35">
      <c r="A62" s="8">
        <v>1061</v>
      </c>
      <c r="B62" s="8" t="s">
        <v>61</v>
      </c>
      <c r="C62" s="8" t="s">
        <v>10</v>
      </c>
      <c r="D62" s="8" t="s">
        <v>35</v>
      </c>
      <c r="E62" s="8" t="s">
        <v>20</v>
      </c>
      <c r="F62" s="8" t="s">
        <v>32</v>
      </c>
      <c r="G62" s="8">
        <v>8</v>
      </c>
      <c r="H62" s="9">
        <v>120</v>
      </c>
      <c r="I62" s="9">
        <f t="shared" si="0"/>
        <v>960</v>
      </c>
    </row>
    <row r="63" spans="1:9" x14ac:dyDescent="0.35">
      <c r="A63" s="8">
        <v>1062</v>
      </c>
      <c r="B63" s="8" t="s">
        <v>89</v>
      </c>
      <c r="C63" s="8" t="s">
        <v>25</v>
      </c>
      <c r="D63" s="8" t="s">
        <v>16</v>
      </c>
      <c r="E63" s="8" t="s">
        <v>12</v>
      </c>
      <c r="F63" s="8" t="s">
        <v>78</v>
      </c>
      <c r="G63" s="8">
        <v>2</v>
      </c>
      <c r="H63" s="9">
        <v>300</v>
      </c>
      <c r="I63" s="9">
        <f t="shared" si="0"/>
        <v>600</v>
      </c>
    </row>
    <row r="64" spans="1:9" x14ac:dyDescent="0.35">
      <c r="A64" s="8">
        <v>1063</v>
      </c>
      <c r="B64" s="8" t="s">
        <v>14</v>
      </c>
      <c r="C64" s="8" t="s">
        <v>10</v>
      </c>
      <c r="D64" s="8" t="s">
        <v>19</v>
      </c>
      <c r="E64" s="8" t="s">
        <v>20</v>
      </c>
      <c r="F64" s="8" t="s">
        <v>38</v>
      </c>
      <c r="G64" s="8">
        <v>3</v>
      </c>
      <c r="H64" s="9">
        <v>350</v>
      </c>
      <c r="I64" s="9">
        <f t="shared" si="0"/>
        <v>1050</v>
      </c>
    </row>
    <row r="65" spans="1:9" x14ac:dyDescent="0.35">
      <c r="A65" s="8">
        <v>1064</v>
      </c>
      <c r="B65" s="8" t="s">
        <v>90</v>
      </c>
      <c r="C65" s="8" t="s">
        <v>10</v>
      </c>
      <c r="D65" s="8" t="s">
        <v>26</v>
      </c>
      <c r="E65" s="8" t="s">
        <v>12</v>
      </c>
      <c r="F65" s="8" t="s">
        <v>72</v>
      </c>
      <c r="G65" s="8">
        <v>2</v>
      </c>
      <c r="H65" s="9">
        <v>250</v>
      </c>
      <c r="I65" s="9">
        <f t="shared" si="0"/>
        <v>500</v>
      </c>
    </row>
    <row r="66" spans="1:9" x14ac:dyDescent="0.35">
      <c r="A66" s="8">
        <v>1065</v>
      </c>
      <c r="B66" s="8" t="s">
        <v>91</v>
      </c>
      <c r="C66" s="8" t="s">
        <v>10</v>
      </c>
      <c r="D66" s="8" t="s">
        <v>59</v>
      </c>
      <c r="E66" s="8" t="s">
        <v>12</v>
      </c>
      <c r="F66" s="8" t="s">
        <v>72</v>
      </c>
      <c r="G66" s="8">
        <v>8</v>
      </c>
      <c r="H66" s="9">
        <v>400</v>
      </c>
      <c r="I66" s="9">
        <f t="shared" si="0"/>
        <v>3200</v>
      </c>
    </row>
    <row r="67" spans="1:9" x14ac:dyDescent="0.35">
      <c r="A67" s="8">
        <v>1066</v>
      </c>
      <c r="B67" s="8" t="s">
        <v>92</v>
      </c>
      <c r="C67" s="8" t="s">
        <v>25</v>
      </c>
      <c r="D67" s="8" t="s">
        <v>16</v>
      </c>
      <c r="E67" s="8" t="s">
        <v>12</v>
      </c>
      <c r="F67" s="8" t="s">
        <v>13</v>
      </c>
      <c r="G67" s="8">
        <v>4</v>
      </c>
      <c r="H67" s="9">
        <v>300</v>
      </c>
      <c r="I67" s="9">
        <f t="shared" ref="I67:I121" si="1">G67*H67</f>
        <v>1200</v>
      </c>
    </row>
    <row r="68" spans="1:9" x14ac:dyDescent="0.35">
      <c r="A68" s="8">
        <v>1067</v>
      </c>
      <c r="B68" s="8" t="s">
        <v>93</v>
      </c>
      <c r="C68" s="8" t="s">
        <v>29</v>
      </c>
      <c r="D68" s="8" t="s">
        <v>59</v>
      </c>
      <c r="E68" s="8" t="s">
        <v>12</v>
      </c>
      <c r="F68" s="8" t="s">
        <v>13</v>
      </c>
      <c r="G68" s="8">
        <v>8</v>
      </c>
      <c r="H68" s="9">
        <v>400</v>
      </c>
      <c r="I68" s="9">
        <f t="shared" si="1"/>
        <v>3200</v>
      </c>
    </row>
    <row r="69" spans="1:9" x14ac:dyDescent="0.35">
      <c r="A69" s="8">
        <v>1068</v>
      </c>
      <c r="B69" s="8" t="s">
        <v>94</v>
      </c>
      <c r="C69" s="8" t="s">
        <v>29</v>
      </c>
      <c r="D69" s="8" t="s">
        <v>59</v>
      </c>
      <c r="E69" s="8" t="s">
        <v>12</v>
      </c>
      <c r="F69" s="8" t="s">
        <v>13</v>
      </c>
      <c r="G69" s="8">
        <v>4</v>
      </c>
      <c r="H69" s="9">
        <v>400</v>
      </c>
      <c r="I69" s="9">
        <f t="shared" si="1"/>
        <v>1600</v>
      </c>
    </row>
    <row r="70" spans="1:9" x14ac:dyDescent="0.35">
      <c r="A70" s="8">
        <v>1069</v>
      </c>
      <c r="B70" s="8" t="s">
        <v>50</v>
      </c>
      <c r="C70" s="8" t="s">
        <v>29</v>
      </c>
      <c r="D70" s="8" t="s">
        <v>16</v>
      </c>
      <c r="E70" s="8" t="s">
        <v>12</v>
      </c>
      <c r="F70" s="8" t="s">
        <v>75</v>
      </c>
      <c r="G70" s="8">
        <v>1</v>
      </c>
      <c r="H70" s="9">
        <v>300</v>
      </c>
      <c r="I70" s="9">
        <f t="shared" si="1"/>
        <v>300</v>
      </c>
    </row>
    <row r="71" spans="1:9" x14ac:dyDescent="0.35">
      <c r="A71" s="8">
        <v>1070</v>
      </c>
      <c r="B71" s="8" t="s">
        <v>39</v>
      </c>
      <c r="C71" s="8" t="s">
        <v>25</v>
      </c>
      <c r="D71" s="8" t="s">
        <v>26</v>
      </c>
      <c r="E71" s="8" t="s">
        <v>12</v>
      </c>
      <c r="F71" s="8" t="s">
        <v>17</v>
      </c>
      <c r="G71" s="8">
        <v>1</v>
      </c>
      <c r="H71" s="9">
        <v>250</v>
      </c>
      <c r="I71" s="9">
        <f t="shared" si="1"/>
        <v>250</v>
      </c>
    </row>
    <row r="72" spans="1:9" x14ac:dyDescent="0.35">
      <c r="A72" s="8">
        <v>1071</v>
      </c>
      <c r="B72" s="8" t="s">
        <v>95</v>
      </c>
      <c r="C72" s="8" t="s">
        <v>10</v>
      </c>
      <c r="D72" s="8" t="s">
        <v>16</v>
      </c>
      <c r="E72" s="8" t="s">
        <v>12</v>
      </c>
      <c r="F72" s="8" t="s">
        <v>72</v>
      </c>
      <c r="G72" s="8">
        <v>3</v>
      </c>
      <c r="H72" s="9">
        <v>300</v>
      </c>
      <c r="I72" s="9">
        <f t="shared" si="1"/>
        <v>900</v>
      </c>
    </row>
    <row r="73" spans="1:9" x14ac:dyDescent="0.35">
      <c r="A73" s="8">
        <v>1072</v>
      </c>
      <c r="B73" s="8" t="s">
        <v>51</v>
      </c>
      <c r="C73" s="8" t="s">
        <v>29</v>
      </c>
      <c r="D73" s="8" t="s">
        <v>35</v>
      </c>
      <c r="E73" s="8" t="s">
        <v>20</v>
      </c>
      <c r="F73" s="8" t="s">
        <v>13</v>
      </c>
      <c r="G73" s="8">
        <v>2</v>
      </c>
      <c r="H73" s="9">
        <v>120</v>
      </c>
      <c r="I73" s="9">
        <f t="shared" si="1"/>
        <v>240</v>
      </c>
    </row>
    <row r="74" spans="1:9" x14ac:dyDescent="0.35">
      <c r="A74" s="8">
        <v>1073</v>
      </c>
      <c r="B74" s="8" t="s">
        <v>96</v>
      </c>
      <c r="C74" s="8" t="s">
        <v>15</v>
      </c>
      <c r="D74" s="8" t="s">
        <v>48</v>
      </c>
      <c r="E74" s="8" t="s">
        <v>12</v>
      </c>
      <c r="F74" s="8" t="s">
        <v>72</v>
      </c>
      <c r="G74" s="8">
        <v>4</v>
      </c>
      <c r="H74" s="9">
        <v>600</v>
      </c>
      <c r="I74" s="9">
        <f t="shared" si="1"/>
        <v>2400</v>
      </c>
    </row>
    <row r="75" spans="1:9" x14ac:dyDescent="0.35">
      <c r="A75" s="8">
        <v>1074</v>
      </c>
      <c r="B75" s="8" t="s">
        <v>97</v>
      </c>
      <c r="C75" s="8" t="s">
        <v>10</v>
      </c>
      <c r="D75" s="8" t="s">
        <v>30</v>
      </c>
      <c r="E75" s="8" t="s">
        <v>20</v>
      </c>
      <c r="F75" s="8" t="s">
        <v>49</v>
      </c>
      <c r="G75" s="8">
        <v>8</v>
      </c>
      <c r="H75" s="9">
        <v>200</v>
      </c>
      <c r="I75" s="9">
        <f t="shared" si="1"/>
        <v>1600</v>
      </c>
    </row>
    <row r="76" spans="1:9" x14ac:dyDescent="0.35">
      <c r="A76" s="8">
        <v>1075</v>
      </c>
      <c r="B76" s="8" t="s">
        <v>61</v>
      </c>
      <c r="C76" s="8" t="s">
        <v>10</v>
      </c>
      <c r="D76" s="8" t="s">
        <v>26</v>
      </c>
      <c r="E76" s="8" t="s">
        <v>12</v>
      </c>
      <c r="F76" s="8" t="s">
        <v>67</v>
      </c>
      <c r="G76" s="8">
        <v>5</v>
      </c>
      <c r="H76" s="9">
        <v>250</v>
      </c>
      <c r="I76" s="9">
        <f t="shared" si="1"/>
        <v>1250</v>
      </c>
    </row>
    <row r="77" spans="1:9" x14ac:dyDescent="0.35">
      <c r="A77" s="8">
        <v>1076</v>
      </c>
      <c r="B77" s="8" t="s">
        <v>98</v>
      </c>
      <c r="C77" s="8" t="s">
        <v>10</v>
      </c>
      <c r="D77" s="8" t="s">
        <v>11</v>
      </c>
      <c r="E77" s="8" t="s">
        <v>12</v>
      </c>
      <c r="F77" s="8" t="s">
        <v>32</v>
      </c>
      <c r="G77" s="8">
        <v>3</v>
      </c>
      <c r="H77" s="9">
        <v>900</v>
      </c>
      <c r="I77" s="9">
        <f t="shared" si="1"/>
        <v>2700</v>
      </c>
    </row>
    <row r="78" spans="1:9" x14ac:dyDescent="0.35">
      <c r="A78" s="8">
        <v>1077</v>
      </c>
      <c r="B78" s="8" t="s">
        <v>99</v>
      </c>
      <c r="C78" s="8" t="s">
        <v>29</v>
      </c>
      <c r="D78" s="8" t="s">
        <v>35</v>
      </c>
      <c r="E78" s="8" t="s">
        <v>20</v>
      </c>
      <c r="F78" s="8" t="s">
        <v>56</v>
      </c>
      <c r="G78" s="8">
        <v>8</v>
      </c>
      <c r="H78" s="9">
        <v>120</v>
      </c>
      <c r="I78" s="9">
        <f t="shared" si="1"/>
        <v>960</v>
      </c>
    </row>
    <row r="79" spans="1:9" x14ac:dyDescent="0.35">
      <c r="A79" s="8">
        <v>1078</v>
      </c>
      <c r="B79" s="8" t="s">
        <v>100</v>
      </c>
      <c r="C79" s="8" t="s">
        <v>29</v>
      </c>
      <c r="D79" s="8" t="s">
        <v>19</v>
      </c>
      <c r="E79" s="8" t="s">
        <v>20</v>
      </c>
      <c r="F79" s="8" t="s">
        <v>17</v>
      </c>
      <c r="G79" s="8">
        <v>8</v>
      </c>
      <c r="H79" s="9">
        <v>350</v>
      </c>
      <c r="I79" s="9">
        <f t="shared" si="1"/>
        <v>2800</v>
      </c>
    </row>
    <row r="80" spans="1:9" x14ac:dyDescent="0.35">
      <c r="A80" s="8">
        <v>1079</v>
      </c>
      <c r="B80" s="8" t="s">
        <v>101</v>
      </c>
      <c r="C80" s="8" t="s">
        <v>29</v>
      </c>
      <c r="D80" s="8" t="s">
        <v>19</v>
      </c>
      <c r="E80" s="8" t="s">
        <v>20</v>
      </c>
      <c r="F80" s="8" t="s">
        <v>72</v>
      </c>
      <c r="G80" s="8">
        <v>3</v>
      </c>
      <c r="H80" s="9">
        <v>350</v>
      </c>
      <c r="I80" s="9">
        <f t="shared" si="1"/>
        <v>1050</v>
      </c>
    </row>
    <row r="81" spans="1:9" x14ac:dyDescent="0.35">
      <c r="A81" s="8">
        <v>1080</v>
      </c>
      <c r="B81" s="8" t="s">
        <v>102</v>
      </c>
      <c r="C81" s="8" t="s">
        <v>25</v>
      </c>
      <c r="D81" s="8" t="s">
        <v>11</v>
      </c>
      <c r="E81" s="8" t="s">
        <v>12</v>
      </c>
      <c r="F81" s="8" t="s">
        <v>23</v>
      </c>
      <c r="G81" s="8">
        <v>2</v>
      </c>
      <c r="H81" s="9">
        <v>900</v>
      </c>
      <c r="I81" s="9">
        <f t="shared" si="1"/>
        <v>1800</v>
      </c>
    </row>
    <row r="82" spans="1:9" x14ac:dyDescent="0.35">
      <c r="A82" s="8">
        <v>1081</v>
      </c>
      <c r="B82" s="8" t="s">
        <v>101</v>
      </c>
      <c r="C82" s="8" t="s">
        <v>29</v>
      </c>
      <c r="D82" s="8" t="s">
        <v>35</v>
      </c>
      <c r="E82" s="8" t="s">
        <v>20</v>
      </c>
      <c r="F82" s="8" t="s">
        <v>53</v>
      </c>
      <c r="G82" s="8">
        <v>6</v>
      </c>
      <c r="H82" s="9">
        <v>120</v>
      </c>
      <c r="I82" s="9">
        <f t="shared" si="1"/>
        <v>720</v>
      </c>
    </row>
    <row r="83" spans="1:9" x14ac:dyDescent="0.35">
      <c r="A83" s="8">
        <v>1082</v>
      </c>
      <c r="B83" s="8" t="s">
        <v>103</v>
      </c>
      <c r="C83" s="8" t="s">
        <v>25</v>
      </c>
      <c r="D83" s="8" t="s">
        <v>59</v>
      </c>
      <c r="E83" s="8" t="s">
        <v>12</v>
      </c>
      <c r="F83" s="8" t="s">
        <v>67</v>
      </c>
      <c r="G83" s="8">
        <v>8</v>
      </c>
      <c r="H83" s="9">
        <v>400</v>
      </c>
      <c r="I83" s="9">
        <f t="shared" si="1"/>
        <v>3200</v>
      </c>
    </row>
    <row r="84" spans="1:9" x14ac:dyDescent="0.35">
      <c r="A84" s="8">
        <v>1083</v>
      </c>
      <c r="B84" s="8" t="s">
        <v>104</v>
      </c>
      <c r="C84" s="8" t="s">
        <v>25</v>
      </c>
      <c r="D84" s="8" t="s">
        <v>16</v>
      </c>
      <c r="E84" s="8" t="s">
        <v>12</v>
      </c>
      <c r="F84" s="8" t="s">
        <v>72</v>
      </c>
      <c r="G84" s="8">
        <v>4</v>
      </c>
      <c r="H84" s="9">
        <v>300</v>
      </c>
      <c r="I84" s="9">
        <f t="shared" si="1"/>
        <v>1200</v>
      </c>
    </row>
    <row r="85" spans="1:9" x14ac:dyDescent="0.35">
      <c r="A85" s="8">
        <v>1084</v>
      </c>
      <c r="B85" s="8" t="s">
        <v>105</v>
      </c>
      <c r="C85" s="8" t="s">
        <v>29</v>
      </c>
      <c r="D85" s="8" t="s">
        <v>26</v>
      </c>
      <c r="E85" s="8" t="s">
        <v>12</v>
      </c>
      <c r="F85" s="8" t="s">
        <v>46</v>
      </c>
      <c r="G85" s="8">
        <v>4</v>
      </c>
      <c r="H85" s="9">
        <v>250</v>
      </c>
      <c r="I85" s="9">
        <f t="shared" si="1"/>
        <v>1000</v>
      </c>
    </row>
    <row r="86" spans="1:9" x14ac:dyDescent="0.35">
      <c r="A86" s="8">
        <v>1085</v>
      </c>
      <c r="B86" s="8" t="s">
        <v>106</v>
      </c>
      <c r="C86" s="8" t="s">
        <v>29</v>
      </c>
      <c r="D86" s="8" t="s">
        <v>30</v>
      </c>
      <c r="E86" s="8" t="s">
        <v>20</v>
      </c>
      <c r="F86" s="8" t="s">
        <v>49</v>
      </c>
      <c r="G86" s="8">
        <v>6</v>
      </c>
      <c r="H86" s="9">
        <v>200</v>
      </c>
      <c r="I86" s="9">
        <f t="shared" si="1"/>
        <v>1200</v>
      </c>
    </row>
    <row r="87" spans="1:9" x14ac:dyDescent="0.35">
      <c r="A87" s="8">
        <v>1086</v>
      </c>
      <c r="B87" s="8" t="s">
        <v>68</v>
      </c>
      <c r="C87" s="8" t="s">
        <v>10</v>
      </c>
      <c r="D87" s="8" t="s">
        <v>59</v>
      </c>
      <c r="E87" s="8" t="s">
        <v>12</v>
      </c>
      <c r="F87" s="8" t="s">
        <v>21</v>
      </c>
      <c r="G87" s="8">
        <v>3</v>
      </c>
      <c r="H87" s="9">
        <v>400</v>
      </c>
      <c r="I87" s="9">
        <f t="shared" si="1"/>
        <v>1200</v>
      </c>
    </row>
    <row r="88" spans="1:9" x14ac:dyDescent="0.35">
      <c r="A88" s="8">
        <v>1087</v>
      </c>
      <c r="B88" s="8" t="s">
        <v>107</v>
      </c>
      <c r="C88" s="8" t="s">
        <v>15</v>
      </c>
      <c r="D88" s="8" t="s">
        <v>19</v>
      </c>
      <c r="E88" s="8" t="s">
        <v>20</v>
      </c>
      <c r="F88" s="8" t="s">
        <v>53</v>
      </c>
      <c r="G88" s="8">
        <v>3</v>
      </c>
      <c r="H88" s="9">
        <v>350</v>
      </c>
      <c r="I88" s="9">
        <f t="shared" si="1"/>
        <v>1050</v>
      </c>
    </row>
    <row r="89" spans="1:9" x14ac:dyDescent="0.35">
      <c r="A89" s="8">
        <v>1088</v>
      </c>
      <c r="B89" s="8" t="s">
        <v>96</v>
      </c>
      <c r="C89" s="8" t="s">
        <v>25</v>
      </c>
      <c r="D89" s="8" t="s">
        <v>19</v>
      </c>
      <c r="E89" s="8" t="s">
        <v>20</v>
      </c>
      <c r="F89" s="8" t="s">
        <v>78</v>
      </c>
      <c r="G89" s="8">
        <v>8</v>
      </c>
      <c r="H89" s="9">
        <v>350</v>
      </c>
      <c r="I89" s="9">
        <f t="shared" si="1"/>
        <v>2800</v>
      </c>
    </row>
    <row r="90" spans="1:9" x14ac:dyDescent="0.35">
      <c r="A90" s="8">
        <v>1089</v>
      </c>
      <c r="B90" s="8" t="s">
        <v>96</v>
      </c>
      <c r="C90" s="8" t="s">
        <v>10</v>
      </c>
      <c r="D90" s="8" t="s">
        <v>35</v>
      </c>
      <c r="E90" s="8" t="s">
        <v>20</v>
      </c>
      <c r="F90" s="8" t="s">
        <v>42</v>
      </c>
      <c r="G90" s="8">
        <v>1</v>
      </c>
      <c r="H90" s="9">
        <v>120</v>
      </c>
      <c r="I90" s="9">
        <f t="shared" si="1"/>
        <v>120</v>
      </c>
    </row>
    <row r="91" spans="1:9" x14ac:dyDescent="0.35">
      <c r="A91" s="8">
        <v>1090</v>
      </c>
      <c r="B91" s="8" t="s">
        <v>108</v>
      </c>
      <c r="C91" s="8" t="s">
        <v>15</v>
      </c>
      <c r="D91" s="8" t="s">
        <v>35</v>
      </c>
      <c r="E91" s="8" t="s">
        <v>20</v>
      </c>
      <c r="F91" s="8" t="s">
        <v>67</v>
      </c>
      <c r="G91" s="8">
        <v>1</v>
      </c>
      <c r="H91" s="9">
        <v>120</v>
      </c>
      <c r="I91" s="9">
        <f t="shared" si="1"/>
        <v>120</v>
      </c>
    </row>
    <row r="92" spans="1:9" x14ac:dyDescent="0.35">
      <c r="A92" s="8">
        <v>1091</v>
      </c>
      <c r="B92" s="8" t="s">
        <v>109</v>
      </c>
      <c r="C92" s="8" t="s">
        <v>15</v>
      </c>
      <c r="D92" s="8" t="s">
        <v>26</v>
      </c>
      <c r="E92" s="8" t="s">
        <v>12</v>
      </c>
      <c r="F92" s="8" t="s">
        <v>17</v>
      </c>
      <c r="G92" s="8">
        <v>1</v>
      </c>
      <c r="H92" s="9">
        <v>250</v>
      </c>
      <c r="I92" s="9">
        <f t="shared" si="1"/>
        <v>250</v>
      </c>
    </row>
    <row r="93" spans="1:9" x14ac:dyDescent="0.35">
      <c r="A93" s="8">
        <v>1092</v>
      </c>
      <c r="B93" s="8" t="s">
        <v>66</v>
      </c>
      <c r="C93" s="8" t="s">
        <v>25</v>
      </c>
      <c r="D93" s="8" t="s">
        <v>48</v>
      </c>
      <c r="E93" s="8" t="s">
        <v>12</v>
      </c>
      <c r="F93" s="8" t="s">
        <v>46</v>
      </c>
      <c r="G93" s="8">
        <v>5</v>
      </c>
      <c r="H93" s="9">
        <v>600</v>
      </c>
      <c r="I93" s="9">
        <f t="shared" si="1"/>
        <v>3000</v>
      </c>
    </row>
    <row r="94" spans="1:9" x14ac:dyDescent="0.35">
      <c r="A94" s="8">
        <v>1093</v>
      </c>
      <c r="B94" s="8" t="s">
        <v>110</v>
      </c>
      <c r="C94" s="8" t="s">
        <v>10</v>
      </c>
      <c r="D94" s="8" t="s">
        <v>30</v>
      </c>
      <c r="E94" s="8" t="s">
        <v>20</v>
      </c>
      <c r="F94" s="8" t="s">
        <v>27</v>
      </c>
      <c r="G94" s="8">
        <v>8</v>
      </c>
      <c r="H94" s="9">
        <v>200</v>
      </c>
      <c r="I94" s="9">
        <f t="shared" si="1"/>
        <v>1600</v>
      </c>
    </row>
    <row r="95" spans="1:9" x14ac:dyDescent="0.35">
      <c r="A95" s="8">
        <v>1094</v>
      </c>
      <c r="B95" s="8" t="s">
        <v>111</v>
      </c>
      <c r="C95" s="8" t="s">
        <v>10</v>
      </c>
      <c r="D95" s="8" t="s">
        <v>11</v>
      </c>
      <c r="E95" s="8" t="s">
        <v>12</v>
      </c>
      <c r="F95" s="8" t="s">
        <v>67</v>
      </c>
      <c r="G95" s="8">
        <v>3</v>
      </c>
      <c r="H95" s="9">
        <v>900</v>
      </c>
      <c r="I95" s="9">
        <f t="shared" si="1"/>
        <v>2700</v>
      </c>
    </row>
    <row r="96" spans="1:9" x14ac:dyDescent="0.35">
      <c r="A96" s="8">
        <v>1095</v>
      </c>
      <c r="B96" s="8" t="s">
        <v>93</v>
      </c>
      <c r="C96" s="8" t="s">
        <v>29</v>
      </c>
      <c r="D96" s="8" t="s">
        <v>19</v>
      </c>
      <c r="E96" s="8" t="s">
        <v>20</v>
      </c>
      <c r="F96" s="8" t="s">
        <v>44</v>
      </c>
      <c r="G96" s="8">
        <v>7</v>
      </c>
      <c r="H96" s="9">
        <v>350</v>
      </c>
      <c r="I96" s="9">
        <f t="shared" si="1"/>
        <v>2450</v>
      </c>
    </row>
    <row r="97" spans="1:9" x14ac:dyDescent="0.35">
      <c r="A97" s="8">
        <v>1096</v>
      </c>
      <c r="B97" s="8" t="s">
        <v>110</v>
      </c>
      <c r="C97" s="8" t="s">
        <v>10</v>
      </c>
      <c r="D97" s="8" t="s">
        <v>30</v>
      </c>
      <c r="E97" s="8" t="s">
        <v>20</v>
      </c>
      <c r="F97" s="8" t="s">
        <v>44</v>
      </c>
      <c r="G97" s="8">
        <v>3</v>
      </c>
      <c r="H97" s="9">
        <v>200</v>
      </c>
      <c r="I97" s="9">
        <f t="shared" si="1"/>
        <v>600</v>
      </c>
    </row>
    <row r="98" spans="1:9" x14ac:dyDescent="0.35">
      <c r="A98" s="8">
        <v>1097</v>
      </c>
      <c r="B98" s="8" t="s">
        <v>88</v>
      </c>
      <c r="C98" s="8" t="s">
        <v>29</v>
      </c>
      <c r="D98" s="8" t="s">
        <v>35</v>
      </c>
      <c r="E98" s="8" t="s">
        <v>20</v>
      </c>
      <c r="F98" s="8" t="s">
        <v>64</v>
      </c>
      <c r="G98" s="8">
        <v>4</v>
      </c>
      <c r="H98" s="9">
        <v>120</v>
      </c>
      <c r="I98" s="9">
        <f t="shared" si="1"/>
        <v>480</v>
      </c>
    </row>
    <row r="99" spans="1:9" x14ac:dyDescent="0.35">
      <c r="A99" s="8">
        <v>1098</v>
      </c>
      <c r="B99" s="8" t="s">
        <v>112</v>
      </c>
      <c r="C99" s="8" t="s">
        <v>10</v>
      </c>
      <c r="D99" s="8" t="s">
        <v>11</v>
      </c>
      <c r="E99" s="8" t="s">
        <v>12</v>
      </c>
      <c r="F99" s="8" t="s">
        <v>75</v>
      </c>
      <c r="G99" s="8">
        <v>3</v>
      </c>
      <c r="H99" s="9">
        <v>900</v>
      </c>
      <c r="I99" s="9">
        <f t="shared" si="1"/>
        <v>2700</v>
      </c>
    </row>
    <row r="100" spans="1:9" x14ac:dyDescent="0.35">
      <c r="A100" s="8">
        <v>1099</v>
      </c>
      <c r="B100" s="8" t="s">
        <v>113</v>
      </c>
      <c r="C100" s="8" t="s">
        <v>25</v>
      </c>
      <c r="D100" s="8" t="s">
        <v>11</v>
      </c>
      <c r="E100" s="8" t="s">
        <v>12</v>
      </c>
      <c r="F100" s="8" t="s">
        <v>67</v>
      </c>
      <c r="G100" s="8">
        <v>2</v>
      </c>
      <c r="H100" s="9">
        <v>900</v>
      </c>
      <c r="I100" s="9">
        <f t="shared" si="1"/>
        <v>1800</v>
      </c>
    </row>
    <row r="101" spans="1:9" x14ac:dyDescent="0.35">
      <c r="A101" s="8">
        <v>1100</v>
      </c>
      <c r="B101" s="8" t="s">
        <v>55</v>
      </c>
      <c r="C101" s="8" t="s">
        <v>10</v>
      </c>
      <c r="D101" s="8" t="s">
        <v>35</v>
      </c>
      <c r="E101" s="8" t="s">
        <v>20</v>
      </c>
      <c r="F101" s="8" t="s">
        <v>40</v>
      </c>
      <c r="G101" s="8">
        <v>8</v>
      </c>
      <c r="H101" s="9">
        <v>120</v>
      </c>
      <c r="I101" s="9">
        <f t="shared" si="1"/>
        <v>960</v>
      </c>
    </row>
    <row r="102" spans="1:9" x14ac:dyDescent="0.35">
      <c r="A102" s="8">
        <v>1101</v>
      </c>
      <c r="B102" s="8" t="s">
        <v>69</v>
      </c>
      <c r="C102" s="8" t="s">
        <v>15</v>
      </c>
      <c r="D102" s="8" t="s">
        <v>30</v>
      </c>
      <c r="E102" s="8" t="s">
        <v>20</v>
      </c>
      <c r="F102" s="8" t="s">
        <v>78</v>
      </c>
      <c r="G102" s="8">
        <v>5</v>
      </c>
      <c r="H102" s="9">
        <v>200</v>
      </c>
      <c r="I102" s="9">
        <f t="shared" si="1"/>
        <v>1000</v>
      </c>
    </row>
    <row r="103" spans="1:9" x14ac:dyDescent="0.35">
      <c r="A103" s="8">
        <v>1102</v>
      </c>
      <c r="B103" s="8" t="s">
        <v>14</v>
      </c>
      <c r="C103" s="8" t="s">
        <v>29</v>
      </c>
      <c r="D103" s="8" t="s">
        <v>30</v>
      </c>
      <c r="E103" s="8" t="s">
        <v>20</v>
      </c>
      <c r="F103" s="8" t="s">
        <v>32</v>
      </c>
      <c r="G103" s="8">
        <v>3</v>
      </c>
      <c r="H103" s="9">
        <v>200</v>
      </c>
      <c r="I103" s="9">
        <f t="shared" si="1"/>
        <v>600</v>
      </c>
    </row>
    <row r="104" spans="1:9" x14ac:dyDescent="0.35">
      <c r="A104" s="8">
        <v>1103</v>
      </c>
      <c r="B104" s="8" t="s">
        <v>18</v>
      </c>
      <c r="C104" s="8" t="s">
        <v>29</v>
      </c>
      <c r="D104" s="8" t="s">
        <v>16</v>
      </c>
      <c r="E104" s="8" t="s">
        <v>12</v>
      </c>
      <c r="F104" s="8" t="s">
        <v>21</v>
      </c>
      <c r="G104" s="8">
        <v>8</v>
      </c>
      <c r="H104" s="9">
        <v>300</v>
      </c>
      <c r="I104" s="9">
        <f t="shared" si="1"/>
        <v>2400</v>
      </c>
    </row>
    <row r="105" spans="1:9" x14ac:dyDescent="0.35">
      <c r="A105" s="8">
        <v>1104</v>
      </c>
      <c r="B105" s="8" t="s">
        <v>101</v>
      </c>
      <c r="C105" s="8" t="s">
        <v>15</v>
      </c>
      <c r="D105" s="8" t="s">
        <v>11</v>
      </c>
      <c r="E105" s="8" t="s">
        <v>12</v>
      </c>
      <c r="F105" s="8" t="s">
        <v>40</v>
      </c>
      <c r="G105" s="8">
        <v>8</v>
      </c>
      <c r="H105" s="9">
        <v>900</v>
      </c>
      <c r="I105" s="9">
        <f t="shared" si="1"/>
        <v>7200</v>
      </c>
    </row>
    <row r="106" spans="1:9" x14ac:dyDescent="0.35">
      <c r="A106" s="8">
        <v>1105</v>
      </c>
      <c r="B106" s="8" t="s">
        <v>36</v>
      </c>
      <c r="C106" s="8" t="s">
        <v>29</v>
      </c>
      <c r="D106" s="8" t="s">
        <v>16</v>
      </c>
      <c r="E106" s="8" t="s">
        <v>12</v>
      </c>
      <c r="F106" s="8" t="s">
        <v>56</v>
      </c>
      <c r="G106" s="8">
        <v>4</v>
      </c>
      <c r="H106" s="9">
        <v>300</v>
      </c>
      <c r="I106" s="9">
        <f t="shared" si="1"/>
        <v>1200</v>
      </c>
    </row>
    <row r="107" spans="1:9" x14ac:dyDescent="0.35">
      <c r="A107" s="8">
        <v>1106</v>
      </c>
      <c r="B107" s="8" t="s">
        <v>85</v>
      </c>
      <c r="C107" s="8" t="s">
        <v>29</v>
      </c>
      <c r="D107" s="8" t="s">
        <v>11</v>
      </c>
      <c r="E107" s="8" t="s">
        <v>12</v>
      </c>
      <c r="F107" s="8" t="s">
        <v>49</v>
      </c>
      <c r="G107" s="8">
        <v>4</v>
      </c>
      <c r="H107" s="9">
        <v>900</v>
      </c>
      <c r="I107" s="9">
        <f t="shared" si="1"/>
        <v>3600</v>
      </c>
    </row>
    <row r="108" spans="1:9" x14ac:dyDescent="0.35">
      <c r="A108" s="8">
        <v>1107</v>
      </c>
      <c r="B108" s="8" t="s">
        <v>73</v>
      </c>
      <c r="C108" s="8" t="s">
        <v>10</v>
      </c>
      <c r="D108" s="8" t="s">
        <v>26</v>
      </c>
      <c r="E108" s="8" t="s">
        <v>12</v>
      </c>
      <c r="F108" s="8" t="s">
        <v>42</v>
      </c>
      <c r="G108" s="8">
        <v>4</v>
      </c>
      <c r="H108" s="9">
        <v>250</v>
      </c>
      <c r="I108" s="9">
        <f t="shared" si="1"/>
        <v>1000</v>
      </c>
    </row>
    <row r="109" spans="1:9" x14ac:dyDescent="0.35">
      <c r="A109" s="8">
        <v>1108</v>
      </c>
      <c r="B109" s="8" t="s">
        <v>114</v>
      </c>
      <c r="C109" s="8" t="s">
        <v>25</v>
      </c>
      <c r="D109" s="8" t="s">
        <v>48</v>
      </c>
      <c r="E109" s="8" t="s">
        <v>12</v>
      </c>
      <c r="F109" s="8" t="s">
        <v>23</v>
      </c>
      <c r="G109" s="8">
        <v>8</v>
      </c>
      <c r="H109" s="9">
        <v>600</v>
      </c>
      <c r="I109" s="9">
        <f t="shared" si="1"/>
        <v>4800</v>
      </c>
    </row>
    <row r="110" spans="1:9" x14ac:dyDescent="0.35">
      <c r="A110" s="8">
        <v>1109</v>
      </c>
      <c r="B110" s="8" t="s">
        <v>115</v>
      </c>
      <c r="C110" s="8" t="s">
        <v>29</v>
      </c>
      <c r="D110" s="8" t="s">
        <v>19</v>
      </c>
      <c r="E110" s="8" t="s">
        <v>20</v>
      </c>
      <c r="F110" s="8" t="s">
        <v>17</v>
      </c>
      <c r="G110" s="8">
        <v>7</v>
      </c>
      <c r="H110" s="9">
        <v>350</v>
      </c>
      <c r="I110" s="9">
        <f t="shared" si="1"/>
        <v>2450</v>
      </c>
    </row>
    <row r="111" spans="1:9" x14ac:dyDescent="0.35">
      <c r="A111" s="8">
        <v>1110</v>
      </c>
      <c r="B111" s="8" t="s">
        <v>76</v>
      </c>
      <c r="C111" s="8" t="s">
        <v>10</v>
      </c>
      <c r="D111" s="8" t="s">
        <v>30</v>
      </c>
      <c r="E111" s="8" t="s">
        <v>20</v>
      </c>
      <c r="F111" s="8" t="s">
        <v>44</v>
      </c>
      <c r="G111" s="8">
        <v>5</v>
      </c>
      <c r="H111" s="9">
        <v>200</v>
      </c>
      <c r="I111" s="9">
        <f t="shared" si="1"/>
        <v>1000</v>
      </c>
    </row>
    <row r="112" spans="1:9" x14ac:dyDescent="0.35">
      <c r="A112" s="8">
        <v>1111</v>
      </c>
      <c r="B112" s="8" t="s">
        <v>116</v>
      </c>
      <c r="C112" s="8" t="s">
        <v>25</v>
      </c>
      <c r="D112" s="8" t="s">
        <v>16</v>
      </c>
      <c r="E112" s="8" t="s">
        <v>12</v>
      </c>
      <c r="F112" s="8" t="s">
        <v>49</v>
      </c>
      <c r="G112" s="8">
        <v>7</v>
      </c>
      <c r="H112" s="9">
        <v>300</v>
      </c>
      <c r="I112" s="9">
        <f t="shared" si="1"/>
        <v>2100</v>
      </c>
    </row>
    <row r="113" spans="1:9" x14ac:dyDescent="0.35">
      <c r="A113" s="8">
        <v>1112</v>
      </c>
      <c r="B113" s="8" t="s">
        <v>117</v>
      </c>
      <c r="C113" s="8" t="s">
        <v>29</v>
      </c>
      <c r="D113" s="8" t="s">
        <v>26</v>
      </c>
      <c r="E113" s="8" t="s">
        <v>12</v>
      </c>
      <c r="F113" s="8" t="s">
        <v>75</v>
      </c>
      <c r="G113" s="8">
        <v>8</v>
      </c>
      <c r="H113" s="9">
        <v>250</v>
      </c>
      <c r="I113" s="9">
        <f t="shared" si="1"/>
        <v>2000</v>
      </c>
    </row>
    <row r="114" spans="1:9" x14ac:dyDescent="0.35">
      <c r="A114" s="8">
        <v>1113</v>
      </c>
      <c r="B114" s="8" t="s">
        <v>69</v>
      </c>
      <c r="C114" s="8" t="s">
        <v>29</v>
      </c>
      <c r="D114" s="8" t="s">
        <v>48</v>
      </c>
      <c r="E114" s="8" t="s">
        <v>12</v>
      </c>
      <c r="F114" s="8" t="s">
        <v>78</v>
      </c>
      <c r="G114" s="8">
        <v>8</v>
      </c>
      <c r="H114" s="9">
        <v>600</v>
      </c>
      <c r="I114" s="9">
        <f t="shared" si="1"/>
        <v>4800</v>
      </c>
    </row>
    <row r="115" spans="1:9" x14ac:dyDescent="0.35">
      <c r="A115" s="8">
        <v>1114</v>
      </c>
      <c r="B115" s="8" t="s">
        <v>88</v>
      </c>
      <c r="C115" s="8" t="s">
        <v>25</v>
      </c>
      <c r="D115" s="8" t="s">
        <v>16</v>
      </c>
      <c r="E115" s="8" t="s">
        <v>12</v>
      </c>
      <c r="F115" s="8" t="s">
        <v>40</v>
      </c>
      <c r="G115" s="8">
        <v>2</v>
      </c>
      <c r="H115" s="9">
        <v>300</v>
      </c>
      <c r="I115" s="9">
        <f t="shared" si="1"/>
        <v>600</v>
      </c>
    </row>
    <row r="116" spans="1:9" x14ac:dyDescent="0.35">
      <c r="A116" s="8">
        <v>1115</v>
      </c>
      <c r="B116" s="8" t="s">
        <v>107</v>
      </c>
      <c r="C116" s="8" t="s">
        <v>15</v>
      </c>
      <c r="D116" s="8" t="s">
        <v>35</v>
      </c>
      <c r="E116" s="8" t="s">
        <v>20</v>
      </c>
      <c r="F116" s="8" t="s">
        <v>82</v>
      </c>
      <c r="G116" s="8">
        <v>2</v>
      </c>
      <c r="H116" s="9">
        <v>120</v>
      </c>
      <c r="I116" s="9">
        <f t="shared" si="1"/>
        <v>240</v>
      </c>
    </row>
    <row r="117" spans="1:9" x14ac:dyDescent="0.35">
      <c r="A117" s="8">
        <v>1116</v>
      </c>
      <c r="B117" s="8" t="s">
        <v>28</v>
      </c>
      <c r="C117" s="8" t="s">
        <v>15</v>
      </c>
      <c r="D117" s="8" t="s">
        <v>26</v>
      </c>
      <c r="E117" s="8" t="s">
        <v>12</v>
      </c>
      <c r="F117" s="8" t="s">
        <v>53</v>
      </c>
      <c r="G117" s="8">
        <v>8</v>
      </c>
      <c r="H117" s="9">
        <v>250</v>
      </c>
      <c r="I117" s="9">
        <f t="shared" si="1"/>
        <v>2000</v>
      </c>
    </row>
    <row r="118" spans="1:9" x14ac:dyDescent="0.35">
      <c r="A118" s="8">
        <v>1117</v>
      </c>
      <c r="B118" s="8" t="s">
        <v>85</v>
      </c>
      <c r="C118" s="8" t="s">
        <v>15</v>
      </c>
      <c r="D118" s="8" t="s">
        <v>19</v>
      </c>
      <c r="E118" s="8" t="s">
        <v>20</v>
      </c>
      <c r="F118" s="8" t="s">
        <v>42</v>
      </c>
      <c r="G118" s="8">
        <v>4</v>
      </c>
      <c r="H118" s="9">
        <v>350</v>
      </c>
      <c r="I118" s="9">
        <f t="shared" si="1"/>
        <v>1400</v>
      </c>
    </row>
    <row r="119" spans="1:9" x14ac:dyDescent="0.35">
      <c r="A119" s="8">
        <v>1118</v>
      </c>
      <c r="B119" s="8" t="s">
        <v>55</v>
      </c>
      <c r="C119" s="8" t="s">
        <v>25</v>
      </c>
      <c r="D119" s="8" t="s">
        <v>26</v>
      </c>
      <c r="E119" s="8" t="s">
        <v>12</v>
      </c>
      <c r="F119" s="8" t="s">
        <v>53</v>
      </c>
      <c r="G119" s="8">
        <v>4</v>
      </c>
      <c r="H119" s="9">
        <v>250</v>
      </c>
      <c r="I119" s="9">
        <f t="shared" si="1"/>
        <v>1000</v>
      </c>
    </row>
    <row r="120" spans="1:9" x14ac:dyDescent="0.35">
      <c r="A120" s="8">
        <v>1119</v>
      </c>
      <c r="B120" s="8" t="s">
        <v>70</v>
      </c>
      <c r="C120" s="8" t="s">
        <v>29</v>
      </c>
      <c r="D120" s="8" t="s">
        <v>19</v>
      </c>
      <c r="E120" s="8" t="s">
        <v>20</v>
      </c>
      <c r="F120" s="8" t="s">
        <v>72</v>
      </c>
      <c r="G120" s="8">
        <v>7</v>
      </c>
      <c r="H120" s="9">
        <v>350</v>
      </c>
      <c r="I120" s="9">
        <f t="shared" si="1"/>
        <v>2450</v>
      </c>
    </row>
    <row r="121" spans="1:9" x14ac:dyDescent="0.35">
      <c r="A121" s="8">
        <v>1120</v>
      </c>
      <c r="B121" s="8" t="s">
        <v>83</v>
      </c>
      <c r="C121" s="8" t="s">
        <v>10</v>
      </c>
      <c r="D121" s="8" t="s">
        <v>19</v>
      </c>
      <c r="E121" s="8" t="s">
        <v>20</v>
      </c>
      <c r="F121" s="8" t="s">
        <v>40</v>
      </c>
      <c r="G121" s="8">
        <v>1</v>
      </c>
      <c r="H121" s="9">
        <v>350</v>
      </c>
      <c r="I121" s="9">
        <f t="shared" si="1"/>
        <v>350</v>
      </c>
    </row>
  </sheetData>
  <autoFilter ref="A1:I1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B455-26FC-467B-920D-6CC03C18C618}">
  <dimension ref="A1:B6"/>
  <sheetViews>
    <sheetView workbookViewId="0">
      <selection activeCell="B18" sqref="B18"/>
    </sheetView>
  </sheetViews>
  <sheetFormatPr defaultRowHeight="14.5" x14ac:dyDescent="0.35"/>
  <cols>
    <col min="1" max="1" width="10.7265625" bestFit="1" customWidth="1"/>
    <col min="2" max="2" width="16.453125" bestFit="1" customWidth="1"/>
  </cols>
  <sheetData>
    <row r="1" spans="1:2" x14ac:dyDescent="0.35">
      <c r="A1" s="2" t="s">
        <v>2</v>
      </c>
      <c r="B1" t="s">
        <v>119</v>
      </c>
    </row>
    <row r="2" spans="1:2" x14ac:dyDescent="0.35">
      <c r="A2" s="3" t="s">
        <v>25</v>
      </c>
      <c r="B2" s="1">
        <v>59610</v>
      </c>
    </row>
    <row r="3" spans="1:2" x14ac:dyDescent="0.35">
      <c r="A3" s="3" t="s">
        <v>29</v>
      </c>
      <c r="B3" s="1">
        <v>56690</v>
      </c>
    </row>
    <row r="4" spans="1:2" x14ac:dyDescent="0.35">
      <c r="A4" s="3" t="s">
        <v>10</v>
      </c>
      <c r="B4" s="1">
        <v>55200</v>
      </c>
    </row>
    <row r="5" spans="1:2" x14ac:dyDescent="0.35">
      <c r="A5" s="3" t="s">
        <v>15</v>
      </c>
      <c r="B5" s="1">
        <v>49560</v>
      </c>
    </row>
    <row r="6" spans="1:2" x14ac:dyDescent="0.35">
      <c r="A6" s="3" t="s">
        <v>118</v>
      </c>
      <c r="B6" s="1">
        <v>221060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40FD-2478-463B-98CB-F2B3068A7E95}">
  <dimension ref="A1:B10"/>
  <sheetViews>
    <sheetView workbookViewId="0">
      <selection activeCell="H26" sqref="H26"/>
    </sheetView>
  </sheetViews>
  <sheetFormatPr defaultRowHeight="14.5" x14ac:dyDescent="0.35"/>
  <cols>
    <col min="1" max="1" width="10.7265625" bestFit="1" customWidth="1"/>
    <col min="2" max="2" width="16.453125" bestFit="1" customWidth="1"/>
  </cols>
  <sheetData>
    <row r="1" spans="1:2" x14ac:dyDescent="0.35">
      <c r="A1" s="2" t="s">
        <v>120</v>
      </c>
      <c r="B1" t="s">
        <v>119</v>
      </c>
    </row>
    <row r="2" spans="1:2" x14ac:dyDescent="0.35">
      <c r="A2" s="3" t="s">
        <v>11</v>
      </c>
      <c r="B2" s="1">
        <v>61200</v>
      </c>
    </row>
    <row r="3" spans="1:2" x14ac:dyDescent="0.35">
      <c r="A3" s="3" t="s">
        <v>48</v>
      </c>
      <c r="B3" s="1">
        <v>43200</v>
      </c>
    </row>
    <row r="4" spans="1:2" x14ac:dyDescent="0.35">
      <c r="A4" s="3" t="s">
        <v>19</v>
      </c>
      <c r="B4" s="1">
        <v>29750</v>
      </c>
    </row>
    <row r="5" spans="1:2" x14ac:dyDescent="0.35">
      <c r="A5" s="3" t="s">
        <v>16</v>
      </c>
      <c r="B5" s="1">
        <v>24000</v>
      </c>
    </row>
    <row r="6" spans="1:2" x14ac:dyDescent="0.35">
      <c r="A6" s="3" t="s">
        <v>59</v>
      </c>
      <c r="B6" s="1">
        <v>21600</v>
      </c>
    </row>
    <row r="7" spans="1:2" x14ac:dyDescent="0.35">
      <c r="A7" s="3" t="s">
        <v>26</v>
      </c>
      <c r="B7" s="1">
        <v>18750</v>
      </c>
    </row>
    <row r="8" spans="1:2" x14ac:dyDescent="0.35">
      <c r="A8" s="3" t="s">
        <v>30</v>
      </c>
      <c r="B8" s="1">
        <v>15600</v>
      </c>
    </row>
    <row r="9" spans="1:2" x14ac:dyDescent="0.35">
      <c r="A9" s="3" t="s">
        <v>35</v>
      </c>
      <c r="B9" s="1">
        <v>6960</v>
      </c>
    </row>
    <row r="10" spans="1:2" x14ac:dyDescent="0.35">
      <c r="A10" s="3" t="s">
        <v>118</v>
      </c>
      <c r="B10" s="1">
        <v>221060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4572-F417-4CE4-A226-9ABBDB30F542}">
  <dimension ref="A1:B4"/>
  <sheetViews>
    <sheetView workbookViewId="0">
      <selection activeCell="H33" sqref="H33"/>
    </sheetView>
  </sheetViews>
  <sheetFormatPr defaultRowHeight="14.5" x14ac:dyDescent="0.35"/>
  <cols>
    <col min="1" max="1" width="12.6328125" bestFit="1" customWidth="1"/>
    <col min="2" max="2" width="16.453125" bestFit="1" customWidth="1"/>
  </cols>
  <sheetData>
    <row r="1" spans="1:2" x14ac:dyDescent="0.35">
      <c r="A1" s="2" t="s">
        <v>4</v>
      </c>
      <c r="B1" t="s">
        <v>119</v>
      </c>
    </row>
    <row r="2" spans="1:2" x14ac:dyDescent="0.35">
      <c r="A2" s="3" t="s">
        <v>20</v>
      </c>
      <c r="B2" s="1">
        <v>52310</v>
      </c>
    </row>
    <row r="3" spans="1:2" x14ac:dyDescent="0.35">
      <c r="A3" s="3" t="s">
        <v>12</v>
      </c>
      <c r="B3" s="1">
        <v>168750</v>
      </c>
    </row>
    <row r="4" spans="1:2" x14ac:dyDescent="0.35">
      <c r="A4" s="3" t="s">
        <v>118</v>
      </c>
      <c r="B4" s="1">
        <v>221060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A504-5E94-4455-98E1-89DB38348ED2}">
  <dimension ref="A1:B22"/>
  <sheetViews>
    <sheetView workbookViewId="0">
      <selection activeCell="Q13" sqref="Q13"/>
    </sheetView>
  </sheetViews>
  <sheetFormatPr defaultRowHeight="14.5" x14ac:dyDescent="0.35"/>
  <cols>
    <col min="1" max="1" width="11.453125" bestFit="1" customWidth="1"/>
    <col min="2" max="2" width="16.453125" bestFit="1" customWidth="1"/>
  </cols>
  <sheetData>
    <row r="1" spans="1:2" x14ac:dyDescent="0.35">
      <c r="A1" s="2" t="s">
        <v>5</v>
      </c>
      <c r="B1" t="s">
        <v>119</v>
      </c>
    </row>
    <row r="2" spans="1:2" x14ac:dyDescent="0.35">
      <c r="A2" s="4" t="s">
        <v>23</v>
      </c>
      <c r="B2" s="5">
        <v>20350</v>
      </c>
    </row>
    <row r="3" spans="1:2" x14ac:dyDescent="0.35">
      <c r="A3" s="3" t="s">
        <v>67</v>
      </c>
      <c r="B3" s="1">
        <v>19870</v>
      </c>
    </row>
    <row r="4" spans="1:2" x14ac:dyDescent="0.35">
      <c r="A4" s="3" t="s">
        <v>78</v>
      </c>
      <c r="B4" s="1">
        <v>18500</v>
      </c>
    </row>
    <row r="5" spans="1:2" x14ac:dyDescent="0.35">
      <c r="A5" s="3" t="s">
        <v>40</v>
      </c>
      <c r="B5" s="1">
        <v>18050</v>
      </c>
    </row>
    <row r="6" spans="1:2" x14ac:dyDescent="0.35">
      <c r="A6" s="3" t="s">
        <v>42</v>
      </c>
      <c r="B6" s="1">
        <v>17920</v>
      </c>
    </row>
    <row r="7" spans="1:2" x14ac:dyDescent="0.35">
      <c r="A7" s="3" t="s">
        <v>56</v>
      </c>
      <c r="B7" s="1">
        <v>14800</v>
      </c>
    </row>
    <row r="8" spans="1:2" x14ac:dyDescent="0.35">
      <c r="A8" s="3" t="s">
        <v>72</v>
      </c>
      <c r="B8" s="1">
        <v>13050</v>
      </c>
    </row>
    <row r="9" spans="1:2" x14ac:dyDescent="0.35">
      <c r="A9" s="3" t="s">
        <v>17</v>
      </c>
      <c r="B9" s="1">
        <v>12450</v>
      </c>
    </row>
    <row r="10" spans="1:2" x14ac:dyDescent="0.35">
      <c r="A10" s="3" t="s">
        <v>32</v>
      </c>
      <c r="B10" s="1">
        <v>12310</v>
      </c>
    </row>
    <row r="11" spans="1:2" x14ac:dyDescent="0.35">
      <c r="A11" s="3" t="s">
        <v>49</v>
      </c>
      <c r="B11" s="1">
        <v>11500</v>
      </c>
    </row>
    <row r="12" spans="1:2" x14ac:dyDescent="0.35">
      <c r="A12" s="3" t="s">
        <v>21</v>
      </c>
      <c r="B12" s="1">
        <v>11150</v>
      </c>
    </row>
    <row r="13" spans="1:2" x14ac:dyDescent="0.35">
      <c r="A13" s="3" t="s">
        <v>46</v>
      </c>
      <c r="B13" s="1">
        <v>10950</v>
      </c>
    </row>
    <row r="14" spans="1:2" x14ac:dyDescent="0.35">
      <c r="A14" s="3" t="s">
        <v>75</v>
      </c>
      <c r="B14" s="1">
        <v>9200</v>
      </c>
    </row>
    <row r="15" spans="1:2" x14ac:dyDescent="0.35">
      <c r="A15" s="3" t="s">
        <v>13</v>
      </c>
      <c r="B15" s="1">
        <v>8040</v>
      </c>
    </row>
    <row r="16" spans="1:2" x14ac:dyDescent="0.35">
      <c r="A16" s="3" t="s">
        <v>53</v>
      </c>
      <c r="B16" s="1">
        <v>6330</v>
      </c>
    </row>
    <row r="17" spans="1:2" x14ac:dyDescent="0.35">
      <c r="A17" s="3" t="s">
        <v>44</v>
      </c>
      <c r="B17" s="1">
        <v>5250</v>
      </c>
    </row>
    <row r="18" spans="1:2" x14ac:dyDescent="0.35">
      <c r="A18" s="3" t="s">
        <v>38</v>
      </c>
      <c r="B18" s="1">
        <v>3870</v>
      </c>
    </row>
    <row r="19" spans="1:2" x14ac:dyDescent="0.35">
      <c r="A19" s="3" t="s">
        <v>27</v>
      </c>
      <c r="B19" s="1">
        <v>3450</v>
      </c>
    </row>
    <row r="20" spans="1:2" x14ac:dyDescent="0.35">
      <c r="A20" s="3" t="s">
        <v>82</v>
      </c>
      <c r="B20" s="1">
        <v>2640</v>
      </c>
    </row>
    <row r="21" spans="1:2" x14ac:dyDescent="0.35">
      <c r="A21" s="3" t="s">
        <v>64</v>
      </c>
      <c r="B21" s="1">
        <v>1380</v>
      </c>
    </row>
    <row r="22" spans="1:2" x14ac:dyDescent="0.35">
      <c r="A22" s="3" t="s">
        <v>118</v>
      </c>
      <c r="B22" s="1">
        <v>221060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06903-FF51-4299-8A09-18122BC98DA4}">
  <dimension ref="A1"/>
  <sheetViews>
    <sheetView workbookViewId="0">
      <selection activeCell="E23" sqref="E23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Retail Sales Data</vt:lpstr>
      <vt:lpstr>Total Sales by Region</vt:lpstr>
      <vt:lpstr>Sales by Product</vt:lpstr>
      <vt:lpstr>Sales by Category</vt:lpstr>
      <vt:lpstr>Top Customer by Sales</vt:lpstr>
      <vt:lpstr>Insight &amp; Recommendation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marenza santarin</cp:lastModifiedBy>
  <cp:revision/>
  <dcterms:created xsi:type="dcterms:W3CDTF">2026-04-09T23:31:24Z</dcterms:created>
  <dcterms:modified xsi:type="dcterms:W3CDTF">2026-04-10T19:17:49Z</dcterms:modified>
  <cp:category/>
  <cp:contentStatus/>
</cp:coreProperties>
</file>