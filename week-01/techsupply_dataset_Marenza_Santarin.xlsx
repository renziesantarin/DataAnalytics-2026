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enzasantarin\Downloads\"/>
    </mc:Choice>
  </mc:AlternateContent>
  <xr:revisionPtr revIDLastSave="0" documentId="13_ncr:1_{3933EC5F-7C50-440A-A81D-CB2DD66E3F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Data" sheetId="1" r:id="rId1"/>
    <sheet name="Task 1_East" sheetId="2" r:id="rId2"/>
    <sheet name="Task 1_North" sheetId="11" r:id="rId3"/>
    <sheet name="Task 1_South" sheetId="12" r:id="rId4"/>
    <sheet name="Task 1_West" sheetId="13" r:id="rId5"/>
    <sheet name="Task 2_Business" sheetId="3" r:id="rId6"/>
    <sheet name="Task 2_Retail" sheetId="14" r:id="rId7"/>
    <sheet name="Task 3" sheetId="4" r:id="rId8"/>
    <sheet name="Task 4" sheetId="5" r:id="rId9"/>
    <sheet name="Task 5" sheetId="9" r:id="rId10"/>
    <sheet name="Visuals" sheetId="18" r:id="rId11"/>
    <sheet name="Recommendation" sheetId="10" r:id="rId12"/>
  </sheets>
  <definedNames>
    <definedName name="_xlnm._FilterDatabase" localSheetId="0" hidden="1">Sales_Data!$A$1:$K$301</definedName>
  </definedNames>
  <calcPr calcId="191028"/>
  <pivotCaches>
    <pivotCache cacheId="2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<sst xmlns="http://schemas.openxmlformats.org/spreadsheetml/2006/main" count="2389" uniqueCount="190">
  <si>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</si>
  <si>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</si>
  <si>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</si>
  <si>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</si>
  <si>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</si>
  <si>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</si>
  <si>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</si>
  <si>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</si>
  <si>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</si>
  <si>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</si>
  <si>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</si>
  <si>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</si>
  <si>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</si>
  <si>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</si>
  <si>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</si>
  <si>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</si>
  <si>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</si>
  <si>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</si>
  <si>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</si>
  <si>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</si>
  <si>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</si>
  <si>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</si>
  <si>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</si>
  <si>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</si>
  <si>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</si>
  <si>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</si>
  <si>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</si>
  <si>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</si>
  <si>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</si>
  <si>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</si>
  <si>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</si>
  <si>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</si>
  <si>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</si>
  <si>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</si>
  <si>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</si>
  <si>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</si>
  <si>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</si>
  <si>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</si>
  <si>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</si>
  <si>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</si>
  <si>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</si>
  <si>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</si>
  <si>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</si>
  <si>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</si>
  <si>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</si>
  <si>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</si>
  <si>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</si>
  <si>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</si>
  <si>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</si>
  <si>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</si>
  <si>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</si>
  <si>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</si>
  <si>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</si>
  <si>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</si>
  <si>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</si>
  <si>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</si>
  <si>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</si>
  <si>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</si>
  <si>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</si>
  <si>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</si>
  <si>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</si>
  <si>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</si>
  <si>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</si>
  <si>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</si>
  <si>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</si>
  <si>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</si>
  <si>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</si>
  <si>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</si>
  <si>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</si>
  <si>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</si>
  <si>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</si>
  <si>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</si>
  <si>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</si>
  <si>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</si>
  <si>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</si>
  <si>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</si>
  <si>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</si>
  <si>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</si>
  <si>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</si>
  <si>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</si>
  <si>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</si>
  <si>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</si>
  <si>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</si>
  <si>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</si>
  <si>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</si>
  <si>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</si>
  <si>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</si>
  <si>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</si>
  <si>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</si>
  <si>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</si>
  <si>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</si>
  <si>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</si>
  <si>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</si>
  <si>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</si>
  <si>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</si>
  <si>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</si>
  <si>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</si>
  <si>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</si>
  <si>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</si>
  <si>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</si>
  <si>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</si>
  <si>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</si>
  <si>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</si>
  <si>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</si>
  <si>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</si>
  <si>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</si>
  <si>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</si>
  <si>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</si>
  <si>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</si>
  <si>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</si>
  <si>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</si>
  <si>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</si>
  <si>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</si>
  <si>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</si>
  <si>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</si>
  <si>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</si>
  <si>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</si>
  <si>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</si>
  <si>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</si>
  <si>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</si>
  <si>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</si>
  <si>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</si>
  <si>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</si>
  <si>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</si>
  <si>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</si>
  <si>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</si>
  <si>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</si>
  <si>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</si>
  <si>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</si>
  <si>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</si>
  <si>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</si>
  <si>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</si>
  <si>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</si>
  <si>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</si>
  <si>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</si>
  <si>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</si>
  <si>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Grand Total</t>
  </si>
  <si>
    <t>Count of Product_Category</t>
  </si>
  <si>
    <t>What is the largest sale in the East region?</t>
  </si>
  <si>
    <t>Which product category appears most frequently?</t>
  </si>
  <si>
    <t>Which sales representative appears most often?</t>
  </si>
  <si>
    <t>Which product category do business customers purchase most often?</t>
  </si>
  <si>
    <t>Product Category</t>
  </si>
  <si>
    <r>
      <rPr>
        <sz val="11"/>
        <color theme="1"/>
        <rFont val="Calibri"/>
        <family val="2"/>
        <scheme val="minor"/>
      </rPr>
      <t xml:space="preserve">PivotTable shows </t>
    </r>
    <r>
      <rPr>
        <b/>
        <sz val="11"/>
        <color theme="1"/>
        <rFont val="Calibri"/>
        <family val="2"/>
        <scheme val="minor"/>
      </rPr>
      <t>Office Supplies</t>
    </r>
    <r>
      <rPr>
        <sz val="11"/>
        <color theme="1"/>
        <rFont val="Calibri"/>
        <family val="2"/>
        <scheme val="minor"/>
      </rPr>
      <t xml:space="preserve"> are most often purchased.</t>
    </r>
  </si>
  <si>
    <t>What is the largest business transaction?</t>
  </si>
  <si>
    <t>Which sales rep handles the most business orders?</t>
  </si>
  <si>
    <t>Which category appears to generate the highest total sales?</t>
  </si>
  <si>
    <t>Sum of Total_Sales</t>
  </si>
  <si>
    <t>Count of Product</t>
  </si>
  <si>
    <r>
      <t xml:space="preserve">PivotTable shows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generated the highest total sales.</t>
    </r>
  </si>
  <si>
    <t>Which specific product appears most frequently?</t>
  </si>
  <si>
    <t>Products</t>
  </si>
  <si>
    <r>
      <rPr>
        <b/>
        <sz val="11"/>
        <color theme="1"/>
        <rFont val="Calibri"/>
        <family val="2"/>
        <scheme val="minor"/>
      </rPr>
      <t>Printer Paper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Notebooks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Filing Cabinet</t>
    </r>
  </si>
  <si>
    <t>Count of Sales_Rep</t>
  </si>
  <si>
    <r>
      <t xml:space="preserve">Most frequent is </t>
    </r>
    <r>
      <rPr>
        <b/>
        <sz val="11"/>
        <color theme="1"/>
        <rFont val="Calibri"/>
        <family val="2"/>
        <scheme val="minor"/>
      </rPr>
      <t>Electronics.</t>
    </r>
  </si>
  <si>
    <t>Which category tends to have the largest individual transactions?</t>
  </si>
  <si>
    <t>Max of Total_Sales</t>
  </si>
  <si>
    <r>
      <t xml:space="preserve">Based on this PivotTable,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have the largest individual transaction.</t>
    </r>
  </si>
  <si>
    <t>Which payment method is used most frequently?</t>
  </si>
  <si>
    <t>Count of Payment_Method</t>
  </si>
  <si>
    <t>Payment Method</t>
  </si>
  <si>
    <r>
      <rPr>
        <b/>
        <sz val="11"/>
        <color theme="1"/>
        <rFont val="Calibri"/>
        <family val="2"/>
        <scheme val="minor"/>
      </rPr>
      <t>Credit card</t>
    </r>
    <r>
      <rPr>
        <sz val="11"/>
        <color theme="1"/>
        <rFont val="Calibri"/>
        <family val="2"/>
        <scheme val="minor"/>
      </rPr>
      <t xml:space="preserve"> is most frequently used.</t>
    </r>
  </si>
  <si>
    <t>Do business customers prefer a specific payment type?</t>
  </si>
  <si>
    <r>
      <t xml:space="preserve">Business customers appear to pay using </t>
    </r>
    <r>
      <rPr>
        <b/>
        <sz val="11"/>
        <color theme="1"/>
        <rFont val="Calibri"/>
        <family val="2"/>
        <scheme val="minor"/>
      </rPr>
      <t>Debit</t>
    </r>
    <r>
      <rPr>
        <sz val="11"/>
        <color theme="1"/>
        <rFont val="Calibri"/>
        <family val="2"/>
        <scheme val="minor"/>
      </rPr>
      <t xml:space="preserve"> more frequently than other payment type.</t>
    </r>
  </si>
  <si>
    <t>Which payment type is associated with larger purchases?</t>
  </si>
  <si>
    <t>Average of Total_Sales</t>
  </si>
  <si>
    <r>
      <t xml:space="preserve">Wire transfers </t>
    </r>
    <r>
      <rPr>
        <sz val="11"/>
        <color theme="1"/>
        <rFont val="Calibri"/>
        <family val="2"/>
        <scheme val="minor"/>
      </rPr>
      <t>appears to be associated with larger purchases.</t>
    </r>
  </si>
  <si>
    <t>Which sales rep appears to handle high-value transactions?</t>
  </si>
  <si>
    <r>
      <rPr>
        <b/>
        <sz val="11"/>
        <color theme="1"/>
        <rFont val="Calibri"/>
        <family val="2"/>
        <scheme val="minor"/>
      </rPr>
      <t>Lopez</t>
    </r>
    <r>
      <rPr>
        <sz val="11"/>
        <color theme="1"/>
        <rFont val="Calibri"/>
        <family val="2"/>
        <scheme val="minor"/>
      </rPr>
      <t xml:space="preserve"> appears to be the one handling the highest total sales.</t>
    </r>
  </si>
  <si>
    <t>Which rep appears most frequently in the dataset?</t>
  </si>
  <si>
    <r>
      <rPr>
        <b/>
        <sz val="11"/>
        <color theme="1"/>
        <rFont val="Calibri"/>
        <family val="2"/>
        <scheme val="minor"/>
      </rPr>
      <t>Brown</t>
    </r>
    <r>
      <rPr>
        <sz val="11"/>
        <color theme="1"/>
        <rFont val="Calibri"/>
        <family val="2"/>
        <scheme val="minor"/>
      </rPr>
      <t xml:space="preserve"> appeared most frequently.</t>
    </r>
  </si>
  <si>
    <t>Which region do they appear to sell in most often?</t>
  </si>
  <si>
    <t>Count of Region</t>
  </si>
  <si>
    <r>
      <t xml:space="preserve">Most frequent is </t>
    </r>
    <r>
      <rPr>
        <b/>
        <sz val="11"/>
        <color theme="1"/>
        <rFont val="Calibri"/>
        <family val="2"/>
        <scheme val="minor"/>
      </rPr>
      <t>Furniture.</t>
    </r>
  </si>
  <si>
    <t>What is the largest sale in the North region?</t>
  </si>
  <si>
    <t>What is the largest sale in the South region?</t>
  </si>
  <si>
    <r>
      <t xml:space="preserve">Most frequent is </t>
    </r>
    <r>
      <rPr>
        <b/>
        <sz val="11"/>
        <color theme="1"/>
        <rFont val="Calibri"/>
        <family val="2"/>
        <scheme val="minor"/>
      </rPr>
      <t>Office Supplies.</t>
    </r>
  </si>
  <si>
    <r>
      <rPr>
        <b/>
        <sz val="11"/>
        <color theme="1"/>
        <rFont val="Calibri"/>
        <family val="2"/>
        <scheme val="minor"/>
      </rPr>
      <t xml:space="preserve">Singh </t>
    </r>
    <r>
      <rPr>
        <sz val="11"/>
        <color theme="1"/>
        <rFont val="Calibri"/>
        <family val="2"/>
        <scheme val="minor"/>
      </rPr>
      <t>appeared most often.</t>
    </r>
  </si>
  <si>
    <r>
      <rPr>
        <b/>
        <sz val="11"/>
        <color theme="1"/>
        <rFont val="Calibri"/>
        <family val="2"/>
        <scheme val="minor"/>
      </rPr>
      <t>Lopez</t>
    </r>
    <r>
      <rPr>
        <sz val="11"/>
        <color theme="1"/>
        <rFont val="Calibri"/>
        <family val="2"/>
        <scheme val="minor"/>
      </rPr>
      <t xml:space="preserve"> appeared most often.</t>
    </r>
  </si>
  <si>
    <r>
      <rPr>
        <b/>
        <sz val="11"/>
        <color theme="1"/>
        <rFont val="Calibri"/>
        <family val="2"/>
        <scheme val="minor"/>
      </rPr>
      <t>Brown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Johnson</t>
    </r>
    <r>
      <rPr>
        <sz val="11"/>
        <color theme="1"/>
        <rFont val="Calibri"/>
        <family val="2"/>
        <scheme val="minor"/>
      </rPr>
      <t xml:space="preserve"> both appeared most often.</t>
    </r>
  </si>
  <si>
    <r>
      <rPr>
        <b/>
        <sz val="11"/>
        <color theme="1"/>
        <rFont val="Calibri"/>
        <family val="2"/>
        <scheme val="minor"/>
      </rPr>
      <t xml:space="preserve">Brown </t>
    </r>
    <r>
      <rPr>
        <sz val="11"/>
        <color theme="1"/>
        <rFont val="Calibri"/>
        <family val="2"/>
        <scheme val="minor"/>
      </rPr>
      <t>appeared most often.</t>
    </r>
  </si>
  <si>
    <t>What is the largest sale in the West region?</t>
  </si>
  <si>
    <t>Which product category do retail customers purchase most often?</t>
  </si>
  <si>
    <r>
      <rPr>
        <sz val="11"/>
        <color theme="1"/>
        <rFont val="Calibri"/>
        <family val="2"/>
        <scheme val="minor"/>
      </rPr>
      <t xml:space="preserve">PivotTable shows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are most often purchased.</t>
    </r>
  </si>
  <si>
    <t>Which sales rep handles the most retail orders?</t>
  </si>
  <si>
    <r>
      <t xml:space="preserve">Brown appears to sell most often in the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region.</t>
    </r>
  </si>
  <si>
    <t>Count of Customer_Type</t>
  </si>
  <si>
    <t>Customer Type</t>
  </si>
  <si>
    <r>
      <rPr>
        <b/>
        <sz val="11"/>
        <color theme="1"/>
        <rFont val="Calibri"/>
        <family val="2"/>
        <scheme val="minor"/>
      </rPr>
      <t>Brown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Garcia</t>
    </r>
    <r>
      <rPr>
        <sz val="11"/>
        <color theme="1"/>
        <rFont val="Calibri"/>
        <family val="2"/>
        <scheme val="minor"/>
      </rPr>
      <t xml:space="preserve"> handled the most business orders.</t>
    </r>
  </si>
  <si>
    <r>
      <rPr>
        <b/>
        <sz val="11"/>
        <color theme="1"/>
        <rFont val="Calibri"/>
        <family val="2"/>
        <scheme val="minor"/>
      </rPr>
      <t>Lopez</t>
    </r>
    <r>
      <rPr>
        <sz val="11"/>
        <color theme="1"/>
        <rFont val="Calibri"/>
        <family val="2"/>
        <scheme val="minor"/>
      </rPr>
      <t xml:space="preserve"> handled the most retail orders.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</si>
</sst>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164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/>
    <xf numFmtId="0" fontId="1" fillId="0" borderId="0" xfId="0" applyFont="1" applyBorder="1" applyAlignment="1"/>
    <xf numFmtId="164" fontId="0" fillId="0" borderId="0" xfId="1" applyNumberFormat="1" applyFont="1" applyBorder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/>
    <xf numFmtId="0" fontId="0" fillId="0" borderId="1" xfId="0" applyNumberFormat="1" applyBorder="1" applyAlignment="1">
      <alignment vertical="center"/>
    </xf>
  </cellXfs>
  <cellStyles count="2">
    <cellStyle name="Currency" xfId="1" builtinId="4"/>
    <cellStyle name="Normal" xfId="0" builtinId="0"/>
  </cellStyles>
  <dxfs count="19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[techsupply_dataset_Marenza_Santarin.xlsx]Visuals!PivotTable18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Visuals!$A$4:$A$7</c:f>
              <c:strCache>
                <c:ptCount val="3"/>
                <c:pt idx="0">
                  <c:v>Furniture</c:v>
                </c:pt>
                <c:pt idx="1">
                  <c:v>Electronics</c:v>
                </c:pt>
                <c:pt idx="2">
                  <c:v>Office Supplies</c:v>
                </c:pt>
              </c:strCache>
            </c:strRef>
          </c:cat>
          <c:val>
            <c:numRef>
              <c:f>Visuals!$B$4:$B$7</c:f>
              <c:numCache>
                <c:formatCode>General</c:formatCode>
                <c:ptCount val="3"/>
                <c:pt idx="0">
                  <c:v>1290860.2800000003</c:v>
                </c:pt>
                <c:pt idx="1">
                  <c:v>853281.53000000014</c:v>
                </c:pt>
                <c:pt idx="2">
                  <c:v>20748.05000000001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9-4280-86A7-792B361047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768096"/>
        <c:axId val="127769536"/>
      </c:barChart>
      <c:catAx>
        <c:axId val="12776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9536"/>
        <c:crosses val="autoZero"/>
        <c:auto val="1"/>
        <c:lblAlgn val="ctr"/>
        <c:lblOffset val="100"/>
        <c:noMultiLvlLbl val="0"/>
      </c:catAx>
      <c:valAx>
        <c:axId val="127769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[techsupply_dataset_Marenza_Santarin.xlsx]Visuals!PivotTable19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Type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Visuals!$B$19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78F-4AAF-88AB-1AC985C6B3C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Visuals!$A$20:$A$22</c:f>
              <c:strCache>
                <c:ptCount val="2"/>
                <c:pt idx="0">
                  <c:v>Business</c:v>
                </c:pt>
                <c:pt idx="1">
                  <c:v>Retail</c:v>
                </c:pt>
              </c:strCache>
            </c:strRef>
          </c:cat>
          <c:val>
            <c:numRef>
              <c:f>Visuals!$B$20:$B$22</c:f>
              <c:numCache>
                <c:formatCode>General</c:formatCode>
                <c:ptCount val="2"/>
                <c:pt idx="0">
                  <c:v>161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F-4AAF-88AB-1AC985C6B3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28217796304859"/>
          <c:y val="0.5329961358996792"/>
          <c:w val="0.23829941845504607"/>
          <c:h val="0.317130723242927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[techsupply_dataset_Marenza_Santarin.xlsx]Visuals!PivotTable20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Visuals!$A$38:$A$42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Visuals!$B$38:$B$42</c:f>
              <c:numCache>
                <c:formatCode>General</c:formatCode>
                <c:ptCount val="4"/>
                <c:pt idx="0">
                  <c:v>582615.11</c:v>
                </c:pt>
                <c:pt idx="1">
                  <c:v>580102.88999999978</c:v>
                </c:pt>
                <c:pt idx="2">
                  <c:v>516187.72</c:v>
                </c:pt>
                <c:pt idx="3">
                  <c:v>485984.13999999996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0-4CA2-82E5-0DCE3917F8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9677760"/>
        <c:axId val="169674880"/>
      </c:barChart>
      <c:catAx>
        <c:axId val="16967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4880"/>
        <c:crosses val="autoZero"/>
        <c:auto val="1"/>
        <c:lblAlgn val="ctr"/>
        <c:lblOffset val="100"/>
        <c:noMultiLvlLbl val="0"/>
      </c:catAx>
      <c:valAx>
        <c:axId val="169674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67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15874</xdr:colOff>
      <xdr:row>0</xdr:row>
      <xdr:rowOff>0</xdr:rowOff>
    </xdr:from>
    <xdr:to>
      <xdr:col>10</xdr:col>
      <xdr:colOff>590550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92A75C-0B84-5143-9B91-25AC7BD5E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</xdr:colOff>
      <xdr:row>18</xdr:row>
      <xdr:rowOff>12700</xdr:rowOff>
    </xdr:from>
    <xdr:to>
      <xdr:col>10</xdr:col>
      <xdr:colOff>596900</xdr:colOff>
      <xdr:row>32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4C5C59-AA31-6B4E-CBDC-1A83E4708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25400</xdr:colOff>
      <xdr:row>36</xdr:row>
      <xdr:rowOff>12700</xdr:rowOff>
    </xdr:from>
    <xdr:to>
      <xdr:col>10</xdr:col>
      <xdr:colOff>603250</xdr:colOff>
      <xdr:row>50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166DE1-0D56-E4F0-BC11-C82020A45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0</xdr:row>
      <xdr:rowOff>152400</xdr:rowOff>
    </xdr:from>
    <xdr:to>
      <xdr:col>8</xdr:col>
      <xdr:colOff>552450</xdr:colOff>
      <xdr:row>24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772C4E-3FBD-E46E-F69E-180E3586BAF5}"/>
            </a:ext>
          </a:extLst>
        </xdr:cNvPr>
        <xdr:cNvSpPr txBox="1"/>
      </xdr:nvSpPr>
      <xdr:spPr>
        <a:xfrm>
          <a:off x="349250" y="152400"/>
          <a:ext cx="5080000" cy="429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With the highest total sales of $582,615.11, the East region seems to be the strongest market overall, closely followed by the South region.</a:t>
          </a:r>
        </a:p>
        <a:p>
          <a:endParaRPr lang="en-US" sz="1100"/>
        </a:p>
        <a:p>
          <a:r>
            <a:rPr lang="en-US"/>
            <a:t>In terms of product performance by region:</a:t>
          </a:r>
        </a:p>
        <a:p>
          <a:r>
            <a:rPr lang="en-US" b="1"/>
            <a:t>East:</a:t>
          </a:r>
          <a:r>
            <a:rPr lang="en-US"/>
            <a:t> Electronics</a:t>
          </a:r>
        </a:p>
        <a:p>
          <a:r>
            <a:rPr lang="en-US" b="1"/>
            <a:t>North:</a:t>
          </a:r>
          <a:r>
            <a:rPr lang="en-US"/>
            <a:t> Furniture</a:t>
          </a:r>
        </a:p>
        <a:p>
          <a:r>
            <a:rPr lang="en-US" b="1"/>
            <a:t>South:</a:t>
          </a:r>
          <a:r>
            <a:rPr lang="en-US"/>
            <a:t> Office Supplies</a:t>
          </a:r>
        </a:p>
        <a:p>
          <a:r>
            <a:rPr lang="en-US" b="1"/>
            <a:t>West:</a:t>
          </a:r>
          <a:r>
            <a:rPr lang="en-US"/>
            <a:t> Furniture</a:t>
          </a:r>
        </a:p>
        <a:p>
          <a:endParaRPr lang="en-US" sz="1100"/>
        </a:p>
        <a:p>
          <a:r>
            <a:rPr lang="en-US"/>
            <a:t>Furniture performs strongly in both North and West and Electronics is leading in the East (strongest market). I recommend the company to keep marketing Furniture and Electronics, particularly in the East, North and West regions where demand seems to be strong.</a:t>
          </a:r>
        </a:p>
        <a:p>
          <a:endParaRPr lang="en-US" sz="1100"/>
        </a:p>
        <a:p>
          <a:r>
            <a:rPr lang="en-US"/>
            <a:t>Business customers seem to be more valuable than retail consumers because they make up 54% of all customers and they often have larger transaction sizes and higher-value purchases.</a:t>
          </a:r>
        </a:p>
        <a:p>
          <a:endParaRPr lang="en-US" sz="1100"/>
        </a:p>
        <a:p>
          <a:r>
            <a:rPr lang="en-US" b="1"/>
            <a:t>Recommendations to the Sales Manager:</a:t>
          </a:r>
        </a:p>
        <a:p>
          <a:r>
            <a:rPr lang="en-US" sz="1100" b="0"/>
            <a:t>1. Increase marketing and inventory support for furniture and electronic products.</a:t>
          </a:r>
        </a:p>
        <a:p>
          <a:endParaRPr lang="en-US" sz="1100" b="0"/>
        </a:p>
        <a:p>
          <a:r>
            <a:rPr lang="en-US" sz="1100" b="0"/>
            <a:t>2.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align with current consumer demand trends, p</a:t>
          </a:r>
          <a:r>
            <a:rPr lang="en-US"/>
            <a:t>romote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electronics more aggressively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East,</a:t>
          </a:r>
          <a:r>
            <a:rPr lang="en-US"/>
            <a:t> office supplies in the South and furniture in the North and West.</a:t>
          </a:r>
          <a:endParaRPr lang="en-US" sz="11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enza santarin" refreshedDate="46121.556638541668" createdVersion="8" refreshedVersion="8" minRefreshableVersion="3" recordCount="300" xr:uid="{136E5FFF-6C7C-4710-A57E-43EB6842D5E6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/>
    </cacheField>
    <cacheField name="Date" numFmtId="0">
      <sharedItems/>
    </cacheField>
    <cacheField name="Region" numFmtId="0">
      <sharedItems count="4">
        <s v="South"/>
        <s v="West"/>
        <s v="East"/>
        <s v="North"/>
      </sharedItems>
    </cacheField>
    <cacheField name="Sales_Rep" numFmtId="0">
      <sharedItems count="8">
        <s v="Garcia"/>
        <s v="Singh"/>
        <s v="Patel"/>
        <s v="Kim"/>
        <s v="Lopez"/>
        <s v="Chen"/>
        <s v="Brown"/>
        <s v="Johnson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 count="17">
        <s v="Laptop"/>
        <s v="Conference Table"/>
        <s v="Desk"/>
        <s v="Tablet"/>
        <s v="Filing Cabinet"/>
        <s v="Bookshelf"/>
        <s v="Monitor"/>
        <s v="Office Chair"/>
        <s v="Headphones"/>
        <s v="Webcam"/>
        <s v="Keyboard"/>
        <s v="Mouse"/>
        <s v="Stapler"/>
        <s v="Printer Paper"/>
        <s v="Markers"/>
        <s v="Notebooks"/>
        <s v="Pens"/>
      </sharedItems>
    </cacheField>
    <cacheField name="Units_Sold" numFmtId="0">
      <sharedItems containsSemiMixedTypes="0" containsString="0" containsNumber="1" containsInteger="1" minValue="1" maxValue="80"/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67"/>
    </cacheField>
    <cacheField name="Customer_Type" numFmtId="0">
      <sharedItems count="2">
        <s v="Retail"/>
        <s v="Business"/>
      </sharedItems>
    </cacheField>
    <cacheField name="Payment_Method" numFmtId="0">
      <sharedItems count="4">
        <s v="Wire"/>
        <s v="Cash"/>
        <s v="Debit"/>
        <s v="Credit 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118"/>
    <s v="2026-03-10"/>
    <x v="0"/>
    <x v="0"/>
    <x v="0"/>
    <x v="0"/>
    <n v="78"/>
    <n v="973.46"/>
    <n v="75929.67"/>
    <x v="0"/>
    <x v="0"/>
  </r>
  <r>
    <n v="2290"/>
    <s v="2026-03-20"/>
    <x v="0"/>
    <x v="1"/>
    <x v="0"/>
    <x v="0"/>
    <n v="76"/>
    <n v="837.45"/>
    <n v="63646.29"/>
    <x v="1"/>
    <x v="1"/>
  </r>
  <r>
    <n v="2096"/>
    <s v="2026-02-10"/>
    <x v="1"/>
    <x v="2"/>
    <x v="1"/>
    <x v="1"/>
    <n v="72"/>
    <n v="877.35"/>
    <n v="63169.4"/>
    <x v="0"/>
    <x v="2"/>
  </r>
  <r>
    <n v="2263"/>
    <s v="2026-03-06"/>
    <x v="2"/>
    <x v="3"/>
    <x v="0"/>
    <x v="0"/>
    <n v="60"/>
    <n v="882.5"/>
    <n v="52949.98"/>
    <x v="0"/>
    <x v="1"/>
  </r>
  <r>
    <n v="2269"/>
    <s v="2026-01-19"/>
    <x v="3"/>
    <x v="4"/>
    <x v="1"/>
    <x v="1"/>
    <n v="68"/>
    <n v="744.46"/>
    <n v="50623.56"/>
    <x v="1"/>
    <x v="1"/>
  </r>
  <r>
    <n v="2036"/>
    <s v="2026-03-19"/>
    <x v="3"/>
    <x v="5"/>
    <x v="1"/>
    <x v="1"/>
    <n v="63"/>
    <n v="777.51"/>
    <n v="48982.99"/>
    <x v="1"/>
    <x v="2"/>
  </r>
  <r>
    <n v="2287"/>
    <s v="2026-03-29"/>
    <x v="1"/>
    <x v="1"/>
    <x v="0"/>
    <x v="0"/>
    <n v="52"/>
    <n v="898.37"/>
    <n v="46715.48"/>
    <x v="1"/>
    <x v="3"/>
  </r>
  <r>
    <n v="2065"/>
    <s v="2026-01-07"/>
    <x v="0"/>
    <x v="4"/>
    <x v="0"/>
    <x v="0"/>
    <n v="51"/>
    <n v="883.18"/>
    <n v="45042.09"/>
    <x v="0"/>
    <x v="1"/>
  </r>
  <r>
    <n v="2208"/>
    <s v="2026-02-18"/>
    <x v="3"/>
    <x v="6"/>
    <x v="1"/>
    <x v="1"/>
    <n v="62"/>
    <n v="722.55"/>
    <n v="44797.88"/>
    <x v="1"/>
    <x v="0"/>
  </r>
  <r>
    <n v="2255"/>
    <s v="2026-01-28"/>
    <x v="0"/>
    <x v="3"/>
    <x v="0"/>
    <x v="0"/>
    <n v="52"/>
    <n v="834.97"/>
    <n v="43418.32"/>
    <x v="1"/>
    <x v="2"/>
  </r>
  <r>
    <n v="2075"/>
    <s v="2026-03-29"/>
    <x v="0"/>
    <x v="0"/>
    <x v="1"/>
    <x v="1"/>
    <n v="50"/>
    <n v="771.16"/>
    <n v="38557.839999999997"/>
    <x v="0"/>
    <x v="0"/>
  </r>
  <r>
    <n v="2185"/>
    <s v="2026-03-09"/>
    <x v="1"/>
    <x v="4"/>
    <x v="0"/>
    <x v="0"/>
    <n v="44"/>
    <n v="873.88"/>
    <n v="38450.699999999997"/>
    <x v="1"/>
    <x v="3"/>
  </r>
  <r>
    <n v="2039"/>
    <s v="2026-02-28"/>
    <x v="3"/>
    <x v="3"/>
    <x v="1"/>
    <x v="1"/>
    <n v="44"/>
    <n v="872.96"/>
    <n v="38410.050000000003"/>
    <x v="0"/>
    <x v="0"/>
  </r>
  <r>
    <n v="2081"/>
    <s v="2026-02-28"/>
    <x v="2"/>
    <x v="5"/>
    <x v="1"/>
    <x v="1"/>
    <n v="42"/>
    <n v="861.27"/>
    <n v="36173.440000000002"/>
    <x v="0"/>
    <x v="1"/>
  </r>
  <r>
    <n v="2027"/>
    <s v="2026-03-13"/>
    <x v="2"/>
    <x v="7"/>
    <x v="0"/>
    <x v="0"/>
    <n v="36"/>
    <n v="947.36"/>
    <n v="34104.97"/>
    <x v="1"/>
    <x v="0"/>
  </r>
  <r>
    <n v="2282"/>
    <s v="2026-03-27"/>
    <x v="0"/>
    <x v="0"/>
    <x v="0"/>
    <x v="0"/>
    <n v="35"/>
    <n v="929.75"/>
    <n v="32541.21"/>
    <x v="1"/>
    <x v="0"/>
  </r>
  <r>
    <n v="2203"/>
    <s v="2026-01-29"/>
    <x v="2"/>
    <x v="4"/>
    <x v="1"/>
    <x v="2"/>
    <n v="80"/>
    <n v="360.06"/>
    <n v="28805.14"/>
    <x v="0"/>
    <x v="0"/>
  </r>
  <r>
    <n v="2266"/>
    <s v="2026-03-07"/>
    <x v="0"/>
    <x v="1"/>
    <x v="1"/>
    <x v="1"/>
    <n v="32"/>
    <n v="842.21"/>
    <n v="26950.61"/>
    <x v="1"/>
    <x v="2"/>
  </r>
  <r>
    <n v="2248"/>
    <s v="2026-01-31"/>
    <x v="3"/>
    <x v="4"/>
    <x v="1"/>
    <x v="2"/>
    <n v="73"/>
    <n v="358.24"/>
    <n v="26151.78"/>
    <x v="0"/>
    <x v="0"/>
  </r>
  <r>
    <n v="2280"/>
    <s v="2026-02-28"/>
    <x v="1"/>
    <x v="1"/>
    <x v="1"/>
    <x v="2"/>
    <n v="77"/>
    <n v="336.88"/>
    <n v="25939.39"/>
    <x v="0"/>
    <x v="2"/>
  </r>
  <r>
    <n v="2205"/>
    <s v="2026-03-27"/>
    <x v="2"/>
    <x v="0"/>
    <x v="1"/>
    <x v="2"/>
    <n v="67"/>
    <n v="364.9"/>
    <n v="24448.28"/>
    <x v="1"/>
    <x v="1"/>
  </r>
  <r>
    <n v="2151"/>
    <s v="2026-03-21"/>
    <x v="0"/>
    <x v="1"/>
    <x v="1"/>
    <x v="2"/>
    <n v="73"/>
    <n v="332.38"/>
    <n v="24263.7"/>
    <x v="0"/>
    <x v="0"/>
  </r>
  <r>
    <n v="2087"/>
    <s v="2026-02-23"/>
    <x v="2"/>
    <x v="1"/>
    <x v="1"/>
    <x v="1"/>
    <n v="30"/>
    <n v="804.84"/>
    <n v="24145.32"/>
    <x v="0"/>
    <x v="2"/>
  </r>
  <r>
    <n v="2156"/>
    <s v="2026-02-08"/>
    <x v="3"/>
    <x v="3"/>
    <x v="1"/>
    <x v="1"/>
    <n v="31"/>
    <n v="761.44"/>
    <n v="23604.51"/>
    <x v="0"/>
    <x v="3"/>
  </r>
  <r>
    <n v="2198"/>
    <s v="2026-02-04"/>
    <x v="2"/>
    <x v="6"/>
    <x v="1"/>
    <x v="1"/>
    <n v="26"/>
    <n v="875.17"/>
    <n v="22754.45"/>
    <x v="1"/>
    <x v="2"/>
  </r>
  <r>
    <n v="2142"/>
    <s v="2026-02-20"/>
    <x v="2"/>
    <x v="1"/>
    <x v="1"/>
    <x v="2"/>
    <n v="61"/>
    <n v="369.42"/>
    <n v="22534.87"/>
    <x v="0"/>
    <x v="0"/>
  </r>
  <r>
    <n v="2168"/>
    <s v="2026-02-04"/>
    <x v="2"/>
    <x v="7"/>
    <x v="0"/>
    <x v="3"/>
    <n v="77"/>
    <n v="292.62"/>
    <n v="22531.61"/>
    <x v="1"/>
    <x v="2"/>
  </r>
  <r>
    <n v="2283"/>
    <s v="2026-02-13"/>
    <x v="1"/>
    <x v="2"/>
    <x v="1"/>
    <x v="1"/>
    <n v="30"/>
    <n v="749.73"/>
    <n v="22491.88"/>
    <x v="0"/>
    <x v="2"/>
  </r>
  <r>
    <n v="2138"/>
    <s v="2026-01-24"/>
    <x v="3"/>
    <x v="4"/>
    <x v="0"/>
    <x v="3"/>
    <n v="76"/>
    <n v="295.58"/>
    <n v="22463.9"/>
    <x v="1"/>
    <x v="2"/>
  </r>
  <r>
    <n v="2134"/>
    <s v="2026-03-05"/>
    <x v="0"/>
    <x v="6"/>
    <x v="0"/>
    <x v="0"/>
    <n v="22"/>
    <n v="941.42"/>
    <n v="20711.21"/>
    <x v="0"/>
    <x v="2"/>
  </r>
  <r>
    <n v="2077"/>
    <s v="2026-02-07"/>
    <x v="1"/>
    <x v="6"/>
    <x v="0"/>
    <x v="3"/>
    <n v="65"/>
    <n v="312.29000000000002"/>
    <n v="20298.849999999999"/>
    <x v="1"/>
    <x v="1"/>
  </r>
  <r>
    <n v="2271"/>
    <s v="2026-02-28"/>
    <x v="3"/>
    <x v="4"/>
    <x v="1"/>
    <x v="2"/>
    <n v="64"/>
    <n v="315.66000000000003"/>
    <n v="20202.25"/>
    <x v="1"/>
    <x v="0"/>
  </r>
  <r>
    <n v="2067"/>
    <s v="2026-02-12"/>
    <x v="2"/>
    <x v="3"/>
    <x v="1"/>
    <x v="4"/>
    <n v="70"/>
    <n v="266.49"/>
    <n v="18654.61"/>
    <x v="1"/>
    <x v="2"/>
  </r>
  <r>
    <n v="2244"/>
    <s v="2026-03-21"/>
    <x v="2"/>
    <x v="2"/>
    <x v="1"/>
    <x v="2"/>
    <n v="49"/>
    <n v="364.43"/>
    <n v="17857.3"/>
    <x v="0"/>
    <x v="2"/>
  </r>
  <r>
    <n v="2228"/>
    <s v="2026-01-03"/>
    <x v="2"/>
    <x v="0"/>
    <x v="0"/>
    <x v="3"/>
    <n v="60"/>
    <n v="295.67"/>
    <n v="17740.11"/>
    <x v="0"/>
    <x v="3"/>
  </r>
  <r>
    <n v="2291"/>
    <s v="2026-01-07"/>
    <x v="3"/>
    <x v="7"/>
    <x v="1"/>
    <x v="5"/>
    <n v="80"/>
    <n v="218.78"/>
    <n v="17502.18"/>
    <x v="0"/>
    <x v="3"/>
  </r>
  <r>
    <n v="2145"/>
    <s v="2026-03-19"/>
    <x v="1"/>
    <x v="3"/>
    <x v="1"/>
    <x v="5"/>
    <n v="80"/>
    <n v="217.4"/>
    <n v="17391.72"/>
    <x v="0"/>
    <x v="0"/>
  </r>
  <r>
    <n v="2051"/>
    <s v="2026-03-25"/>
    <x v="2"/>
    <x v="6"/>
    <x v="1"/>
    <x v="2"/>
    <n v="47"/>
    <n v="357.11"/>
    <n v="16784.23"/>
    <x v="1"/>
    <x v="2"/>
  </r>
  <r>
    <n v="2175"/>
    <s v="2026-01-16"/>
    <x v="3"/>
    <x v="5"/>
    <x v="1"/>
    <x v="4"/>
    <n v="70"/>
    <n v="237.11"/>
    <n v="16598.04"/>
    <x v="0"/>
    <x v="1"/>
  </r>
  <r>
    <n v="2042"/>
    <s v="2026-01-29"/>
    <x v="1"/>
    <x v="0"/>
    <x v="1"/>
    <x v="5"/>
    <n v="75"/>
    <n v="219.16"/>
    <n v="16437.080000000002"/>
    <x v="1"/>
    <x v="0"/>
  </r>
  <r>
    <n v="2144"/>
    <s v="2026-01-03"/>
    <x v="3"/>
    <x v="3"/>
    <x v="1"/>
    <x v="4"/>
    <n v="61"/>
    <n v="262.89"/>
    <n v="16036.45"/>
    <x v="0"/>
    <x v="2"/>
  </r>
  <r>
    <n v="2196"/>
    <s v="2026-02-14"/>
    <x v="3"/>
    <x v="3"/>
    <x v="1"/>
    <x v="5"/>
    <n v="79"/>
    <n v="202.36"/>
    <n v="15986.37"/>
    <x v="0"/>
    <x v="3"/>
  </r>
  <r>
    <n v="2268"/>
    <s v="2026-01-13"/>
    <x v="0"/>
    <x v="0"/>
    <x v="1"/>
    <x v="4"/>
    <n v="59"/>
    <n v="258.70999999999998"/>
    <n v="15263.72"/>
    <x v="1"/>
    <x v="1"/>
  </r>
  <r>
    <n v="2016"/>
    <s v="2026-02-05"/>
    <x v="0"/>
    <x v="4"/>
    <x v="0"/>
    <x v="3"/>
    <n v="46"/>
    <n v="326.23"/>
    <n v="15006.42"/>
    <x v="0"/>
    <x v="0"/>
  </r>
  <r>
    <n v="2002"/>
    <s v="2026-01-16"/>
    <x v="3"/>
    <x v="4"/>
    <x v="1"/>
    <x v="5"/>
    <n v="80"/>
    <n v="183.88"/>
    <n v="14710.8"/>
    <x v="0"/>
    <x v="1"/>
  </r>
  <r>
    <n v="2150"/>
    <s v="2026-03-01"/>
    <x v="3"/>
    <x v="1"/>
    <x v="0"/>
    <x v="3"/>
    <n v="46"/>
    <n v="313.2"/>
    <n v="14407.2"/>
    <x v="0"/>
    <x v="0"/>
  </r>
  <r>
    <n v="2022"/>
    <s v="2026-02-14"/>
    <x v="1"/>
    <x v="4"/>
    <x v="1"/>
    <x v="2"/>
    <n v="43"/>
    <n v="327.58999999999997"/>
    <n v="14086.19"/>
    <x v="1"/>
    <x v="0"/>
  </r>
  <r>
    <n v="2120"/>
    <s v="2026-02-06"/>
    <x v="2"/>
    <x v="7"/>
    <x v="0"/>
    <x v="0"/>
    <n v="17"/>
    <n v="819.18"/>
    <n v="13926.03"/>
    <x v="1"/>
    <x v="2"/>
  </r>
  <r>
    <n v="2178"/>
    <s v="2026-01-31"/>
    <x v="0"/>
    <x v="1"/>
    <x v="0"/>
    <x v="6"/>
    <n v="74"/>
    <n v="186.54"/>
    <n v="13804.27"/>
    <x v="1"/>
    <x v="2"/>
  </r>
  <r>
    <n v="2062"/>
    <s v="2026-02-04"/>
    <x v="3"/>
    <x v="2"/>
    <x v="0"/>
    <x v="3"/>
    <n v="46"/>
    <n v="293.64"/>
    <n v="13507.63"/>
    <x v="0"/>
    <x v="2"/>
  </r>
  <r>
    <n v="2007"/>
    <s v="2026-01-22"/>
    <x v="2"/>
    <x v="6"/>
    <x v="1"/>
    <x v="5"/>
    <n v="68"/>
    <n v="197.97"/>
    <n v="13461.99"/>
    <x v="1"/>
    <x v="1"/>
  </r>
  <r>
    <n v="2171"/>
    <s v="2026-02-28"/>
    <x v="3"/>
    <x v="7"/>
    <x v="1"/>
    <x v="4"/>
    <n v="52"/>
    <n v="257.10000000000002"/>
    <n v="13369.44"/>
    <x v="0"/>
    <x v="2"/>
  </r>
  <r>
    <n v="2285"/>
    <s v="2026-01-07"/>
    <x v="2"/>
    <x v="4"/>
    <x v="0"/>
    <x v="6"/>
    <n v="68"/>
    <n v="195.91"/>
    <n v="13321.64"/>
    <x v="0"/>
    <x v="3"/>
  </r>
  <r>
    <n v="2253"/>
    <s v="2026-01-14"/>
    <x v="2"/>
    <x v="1"/>
    <x v="1"/>
    <x v="4"/>
    <n v="54"/>
    <n v="246.23"/>
    <n v="13296.61"/>
    <x v="0"/>
    <x v="0"/>
  </r>
  <r>
    <n v="2207"/>
    <s v="2026-01-06"/>
    <x v="1"/>
    <x v="5"/>
    <x v="1"/>
    <x v="1"/>
    <n v="18"/>
    <n v="738.51"/>
    <n v="13293.18"/>
    <x v="1"/>
    <x v="3"/>
  </r>
  <r>
    <n v="2032"/>
    <s v="2026-01-13"/>
    <x v="0"/>
    <x v="6"/>
    <x v="1"/>
    <x v="5"/>
    <n v="72"/>
    <n v="183.07"/>
    <n v="13181.33"/>
    <x v="1"/>
    <x v="3"/>
  </r>
  <r>
    <n v="2060"/>
    <s v="2026-01-03"/>
    <x v="2"/>
    <x v="5"/>
    <x v="0"/>
    <x v="0"/>
    <n v="14"/>
    <n v="917.18"/>
    <n v="12840.56"/>
    <x v="1"/>
    <x v="0"/>
  </r>
  <r>
    <n v="2111"/>
    <s v="2026-02-04"/>
    <x v="2"/>
    <x v="6"/>
    <x v="1"/>
    <x v="1"/>
    <n v="15"/>
    <n v="848.98"/>
    <n v="12734.75"/>
    <x v="1"/>
    <x v="2"/>
  </r>
  <r>
    <n v="2166"/>
    <s v="2026-02-07"/>
    <x v="2"/>
    <x v="0"/>
    <x v="0"/>
    <x v="3"/>
    <n v="47"/>
    <n v="270.70999999999998"/>
    <n v="12723.37"/>
    <x v="0"/>
    <x v="0"/>
  </r>
  <r>
    <n v="2028"/>
    <s v="2026-01-15"/>
    <x v="0"/>
    <x v="1"/>
    <x v="1"/>
    <x v="5"/>
    <n v="66"/>
    <n v="191.9"/>
    <n v="12665.24"/>
    <x v="1"/>
    <x v="2"/>
  </r>
  <r>
    <n v="2098"/>
    <s v="2026-01-05"/>
    <x v="3"/>
    <x v="1"/>
    <x v="1"/>
    <x v="5"/>
    <n v="70"/>
    <n v="180.41"/>
    <n v="12628.41"/>
    <x v="1"/>
    <x v="2"/>
  </r>
  <r>
    <n v="2292"/>
    <s v="2026-01-31"/>
    <x v="0"/>
    <x v="2"/>
    <x v="0"/>
    <x v="6"/>
    <n v="66"/>
    <n v="188.79"/>
    <n v="12460.29"/>
    <x v="0"/>
    <x v="0"/>
  </r>
  <r>
    <n v="2191"/>
    <s v="2026-02-20"/>
    <x v="0"/>
    <x v="3"/>
    <x v="0"/>
    <x v="6"/>
    <n v="73"/>
    <n v="169.9"/>
    <n v="12402.52"/>
    <x v="0"/>
    <x v="3"/>
  </r>
  <r>
    <n v="2125"/>
    <s v="2026-02-20"/>
    <x v="1"/>
    <x v="0"/>
    <x v="1"/>
    <x v="4"/>
    <n v="53"/>
    <n v="232.18"/>
    <n v="12305.66"/>
    <x v="0"/>
    <x v="3"/>
  </r>
  <r>
    <n v="2073"/>
    <s v="2026-02-27"/>
    <x v="0"/>
    <x v="6"/>
    <x v="1"/>
    <x v="4"/>
    <n v="47"/>
    <n v="257.08"/>
    <n v="12082.91"/>
    <x v="0"/>
    <x v="3"/>
  </r>
  <r>
    <n v="2034"/>
    <s v="2026-02-27"/>
    <x v="2"/>
    <x v="5"/>
    <x v="1"/>
    <x v="2"/>
    <n v="33"/>
    <n v="362"/>
    <n v="11945.96"/>
    <x v="0"/>
    <x v="0"/>
  </r>
  <r>
    <n v="2217"/>
    <s v="2026-01-09"/>
    <x v="1"/>
    <x v="0"/>
    <x v="1"/>
    <x v="5"/>
    <n v="55"/>
    <n v="211.93"/>
    <n v="11655.94"/>
    <x v="1"/>
    <x v="0"/>
  </r>
  <r>
    <n v="2182"/>
    <s v="2026-01-22"/>
    <x v="1"/>
    <x v="2"/>
    <x v="1"/>
    <x v="5"/>
    <n v="54"/>
    <n v="213.89"/>
    <n v="11549.92"/>
    <x v="1"/>
    <x v="1"/>
  </r>
  <r>
    <n v="2247"/>
    <s v="2026-03-26"/>
    <x v="0"/>
    <x v="6"/>
    <x v="1"/>
    <x v="4"/>
    <n v="48"/>
    <n v="233.65"/>
    <n v="11215.09"/>
    <x v="1"/>
    <x v="2"/>
  </r>
  <r>
    <n v="2193"/>
    <s v="2026-01-05"/>
    <x v="2"/>
    <x v="5"/>
    <x v="0"/>
    <x v="6"/>
    <n v="66"/>
    <n v="163.9"/>
    <n v="10817.59"/>
    <x v="1"/>
    <x v="0"/>
  </r>
  <r>
    <n v="2044"/>
    <s v="2026-01-22"/>
    <x v="0"/>
    <x v="4"/>
    <x v="1"/>
    <x v="2"/>
    <n v="29"/>
    <n v="367.57"/>
    <n v="10659.45"/>
    <x v="1"/>
    <x v="1"/>
  </r>
  <r>
    <n v="2235"/>
    <s v="2026-02-14"/>
    <x v="2"/>
    <x v="2"/>
    <x v="0"/>
    <x v="6"/>
    <n v="55"/>
    <n v="188.4"/>
    <n v="10361.99"/>
    <x v="1"/>
    <x v="1"/>
  </r>
  <r>
    <n v="2100"/>
    <s v="2026-03-14"/>
    <x v="2"/>
    <x v="7"/>
    <x v="1"/>
    <x v="2"/>
    <n v="30"/>
    <n v="344.11"/>
    <n v="10323.200000000001"/>
    <x v="1"/>
    <x v="3"/>
  </r>
  <r>
    <n v="2284"/>
    <s v="2026-03-17"/>
    <x v="3"/>
    <x v="0"/>
    <x v="1"/>
    <x v="4"/>
    <n v="42"/>
    <n v="237.4"/>
    <n v="9970.85"/>
    <x v="1"/>
    <x v="2"/>
  </r>
  <r>
    <n v="2112"/>
    <s v="2026-01-08"/>
    <x v="0"/>
    <x v="1"/>
    <x v="1"/>
    <x v="4"/>
    <n v="43"/>
    <n v="229.83"/>
    <n v="9882.5499999999993"/>
    <x v="0"/>
    <x v="3"/>
  </r>
  <r>
    <n v="2017"/>
    <s v="2026-03-27"/>
    <x v="3"/>
    <x v="5"/>
    <x v="0"/>
    <x v="3"/>
    <n v="32"/>
    <n v="304.10000000000002"/>
    <n v="9731.36"/>
    <x v="0"/>
    <x v="3"/>
  </r>
  <r>
    <n v="2265"/>
    <s v="2026-01-29"/>
    <x v="1"/>
    <x v="7"/>
    <x v="1"/>
    <x v="7"/>
    <n v="76"/>
    <n v="120.39"/>
    <n v="9149.74"/>
    <x v="0"/>
    <x v="2"/>
  </r>
  <r>
    <n v="2297"/>
    <s v="2026-02-12"/>
    <x v="0"/>
    <x v="3"/>
    <x v="1"/>
    <x v="7"/>
    <n v="74"/>
    <n v="123.59"/>
    <n v="9146.02"/>
    <x v="1"/>
    <x v="2"/>
  </r>
  <r>
    <n v="2113"/>
    <s v="2026-02-02"/>
    <x v="1"/>
    <x v="6"/>
    <x v="1"/>
    <x v="7"/>
    <n v="71"/>
    <n v="127.5"/>
    <n v="9052.51"/>
    <x v="0"/>
    <x v="1"/>
  </r>
  <r>
    <n v="2133"/>
    <s v="2026-01-18"/>
    <x v="1"/>
    <x v="5"/>
    <x v="1"/>
    <x v="4"/>
    <n v="39"/>
    <n v="231.37"/>
    <n v="9023.5"/>
    <x v="0"/>
    <x v="2"/>
  </r>
  <r>
    <n v="2252"/>
    <s v="2026-01-04"/>
    <x v="3"/>
    <x v="7"/>
    <x v="1"/>
    <x v="4"/>
    <n v="36"/>
    <n v="247.68"/>
    <n v="8916.49"/>
    <x v="1"/>
    <x v="3"/>
  </r>
  <r>
    <n v="2076"/>
    <s v="2026-03-07"/>
    <x v="3"/>
    <x v="6"/>
    <x v="0"/>
    <x v="3"/>
    <n v="29"/>
    <n v="306.77"/>
    <n v="8896.2800000000007"/>
    <x v="1"/>
    <x v="0"/>
  </r>
  <r>
    <n v="2293"/>
    <s v="2026-01-24"/>
    <x v="1"/>
    <x v="6"/>
    <x v="1"/>
    <x v="7"/>
    <n v="75"/>
    <n v="113.2"/>
    <n v="8489.64"/>
    <x v="1"/>
    <x v="1"/>
  </r>
  <r>
    <n v="2097"/>
    <s v="2026-03-20"/>
    <x v="1"/>
    <x v="6"/>
    <x v="1"/>
    <x v="4"/>
    <n v="37"/>
    <n v="227.49"/>
    <n v="8417.0400000000009"/>
    <x v="1"/>
    <x v="0"/>
  </r>
  <r>
    <n v="2300"/>
    <s v="2026-03-27"/>
    <x v="1"/>
    <x v="4"/>
    <x v="1"/>
    <x v="7"/>
    <n v="70"/>
    <n v="120"/>
    <n v="8399.98"/>
    <x v="1"/>
    <x v="1"/>
  </r>
  <r>
    <n v="2225"/>
    <s v="2026-03-02"/>
    <x v="0"/>
    <x v="4"/>
    <x v="1"/>
    <x v="7"/>
    <n v="72"/>
    <n v="110.14"/>
    <n v="7929.85"/>
    <x v="1"/>
    <x v="3"/>
  </r>
  <r>
    <n v="2094"/>
    <s v="2026-01-20"/>
    <x v="1"/>
    <x v="7"/>
    <x v="1"/>
    <x v="2"/>
    <n v="21"/>
    <n v="376.4"/>
    <n v="7904.46"/>
    <x v="0"/>
    <x v="2"/>
  </r>
  <r>
    <n v="2045"/>
    <s v="2026-01-22"/>
    <x v="2"/>
    <x v="0"/>
    <x v="1"/>
    <x v="7"/>
    <n v="60"/>
    <n v="131.07"/>
    <n v="7864.33"/>
    <x v="1"/>
    <x v="2"/>
  </r>
  <r>
    <n v="2082"/>
    <s v="2026-02-18"/>
    <x v="2"/>
    <x v="7"/>
    <x v="0"/>
    <x v="0"/>
    <n v="9"/>
    <n v="868.56"/>
    <n v="7817.07"/>
    <x v="0"/>
    <x v="2"/>
  </r>
  <r>
    <n v="2103"/>
    <s v="2026-01-08"/>
    <x v="1"/>
    <x v="1"/>
    <x v="1"/>
    <x v="7"/>
    <n v="65"/>
    <n v="118.49"/>
    <n v="7701.53"/>
    <x v="0"/>
    <x v="3"/>
  </r>
  <r>
    <n v="2194"/>
    <s v="2026-03-13"/>
    <x v="2"/>
    <x v="2"/>
    <x v="1"/>
    <x v="4"/>
    <n v="32"/>
    <n v="240.25"/>
    <n v="7688.07"/>
    <x v="0"/>
    <x v="3"/>
  </r>
  <r>
    <n v="2107"/>
    <s v="2026-01-04"/>
    <x v="1"/>
    <x v="1"/>
    <x v="1"/>
    <x v="4"/>
    <n v="28"/>
    <n v="267.05"/>
    <n v="7477.41"/>
    <x v="0"/>
    <x v="3"/>
  </r>
  <r>
    <n v="2236"/>
    <s v="2026-03-26"/>
    <x v="3"/>
    <x v="5"/>
    <x v="1"/>
    <x v="7"/>
    <n v="62"/>
    <n v="118.35"/>
    <n v="7337.63"/>
    <x v="1"/>
    <x v="1"/>
  </r>
  <r>
    <n v="2046"/>
    <s v="2026-01-09"/>
    <x v="2"/>
    <x v="6"/>
    <x v="0"/>
    <x v="6"/>
    <n v="41"/>
    <n v="177.79"/>
    <n v="7289.4"/>
    <x v="0"/>
    <x v="0"/>
  </r>
  <r>
    <n v="2024"/>
    <s v="2026-02-07"/>
    <x v="3"/>
    <x v="4"/>
    <x v="1"/>
    <x v="2"/>
    <n v="23"/>
    <n v="315.72000000000003"/>
    <n v="7261.6"/>
    <x v="0"/>
    <x v="1"/>
  </r>
  <r>
    <n v="2072"/>
    <s v="2026-01-15"/>
    <x v="3"/>
    <x v="0"/>
    <x v="1"/>
    <x v="4"/>
    <n v="28"/>
    <n v="258.91000000000003"/>
    <n v="7249.45"/>
    <x v="0"/>
    <x v="2"/>
  </r>
  <r>
    <n v="2030"/>
    <s v="2026-03-22"/>
    <x v="3"/>
    <x v="7"/>
    <x v="1"/>
    <x v="7"/>
    <n v="63"/>
    <n v="112.14"/>
    <n v="7064.62"/>
    <x v="0"/>
    <x v="2"/>
  </r>
  <r>
    <n v="2275"/>
    <s v="2026-03-10"/>
    <x v="1"/>
    <x v="6"/>
    <x v="1"/>
    <x v="5"/>
    <n v="33"/>
    <n v="213.11"/>
    <n v="7032.67"/>
    <x v="1"/>
    <x v="2"/>
  </r>
  <r>
    <n v="2068"/>
    <s v="2026-03-07"/>
    <x v="0"/>
    <x v="5"/>
    <x v="1"/>
    <x v="7"/>
    <n v="61"/>
    <n v="115.14"/>
    <n v="7023.42"/>
    <x v="1"/>
    <x v="2"/>
  </r>
  <r>
    <n v="2079"/>
    <s v="2026-01-05"/>
    <x v="1"/>
    <x v="2"/>
    <x v="1"/>
    <x v="7"/>
    <n v="60"/>
    <n v="115.66"/>
    <n v="6939.47"/>
    <x v="0"/>
    <x v="0"/>
  </r>
  <r>
    <n v="2270"/>
    <s v="2026-01-13"/>
    <x v="1"/>
    <x v="4"/>
    <x v="1"/>
    <x v="1"/>
    <n v="8"/>
    <n v="826.36"/>
    <n v="6610.89"/>
    <x v="1"/>
    <x v="1"/>
  </r>
  <r>
    <n v="2169"/>
    <s v="2026-01-30"/>
    <x v="0"/>
    <x v="2"/>
    <x v="1"/>
    <x v="7"/>
    <n v="53"/>
    <n v="123.84"/>
    <n v="6563.26"/>
    <x v="0"/>
    <x v="1"/>
  </r>
  <r>
    <n v="2080"/>
    <s v="2026-02-05"/>
    <x v="1"/>
    <x v="5"/>
    <x v="0"/>
    <x v="6"/>
    <n v="30"/>
    <n v="184.11"/>
    <n v="5523.31"/>
    <x v="0"/>
    <x v="3"/>
  </r>
  <r>
    <n v="2102"/>
    <s v="2026-01-09"/>
    <x v="1"/>
    <x v="2"/>
    <x v="1"/>
    <x v="7"/>
    <n v="44"/>
    <n v="125.5"/>
    <n v="5521.98"/>
    <x v="1"/>
    <x v="2"/>
  </r>
  <r>
    <n v="2229"/>
    <s v="2026-03-07"/>
    <x v="1"/>
    <x v="6"/>
    <x v="0"/>
    <x v="6"/>
    <n v="29"/>
    <n v="189.91"/>
    <n v="5507.44"/>
    <x v="0"/>
    <x v="3"/>
  </r>
  <r>
    <n v="2117"/>
    <s v="2026-03-12"/>
    <x v="1"/>
    <x v="4"/>
    <x v="0"/>
    <x v="6"/>
    <n v="33"/>
    <n v="164.37"/>
    <n v="5424.24"/>
    <x v="1"/>
    <x v="0"/>
  </r>
  <r>
    <n v="2220"/>
    <s v="2026-03-24"/>
    <x v="2"/>
    <x v="6"/>
    <x v="1"/>
    <x v="2"/>
    <n v="15"/>
    <n v="357.96"/>
    <n v="5369.35"/>
    <x v="0"/>
    <x v="2"/>
  </r>
  <r>
    <n v="2240"/>
    <s v="2026-03-27"/>
    <x v="1"/>
    <x v="4"/>
    <x v="0"/>
    <x v="6"/>
    <n v="29"/>
    <n v="178.62"/>
    <n v="5179.9399999999996"/>
    <x v="1"/>
    <x v="1"/>
  </r>
  <r>
    <n v="2286"/>
    <s v="2026-03-01"/>
    <x v="1"/>
    <x v="6"/>
    <x v="1"/>
    <x v="5"/>
    <n v="24"/>
    <n v="214.09"/>
    <n v="5138.2"/>
    <x v="1"/>
    <x v="3"/>
  </r>
  <r>
    <n v="2001"/>
    <s v="2026-01-17"/>
    <x v="0"/>
    <x v="6"/>
    <x v="0"/>
    <x v="8"/>
    <n v="66"/>
    <n v="75.77"/>
    <n v="5001.0200000000004"/>
    <x v="0"/>
    <x v="3"/>
  </r>
  <r>
    <n v="2061"/>
    <s v="2026-03-01"/>
    <x v="2"/>
    <x v="5"/>
    <x v="1"/>
    <x v="7"/>
    <n v="44"/>
    <n v="110.37"/>
    <n v="4856.42"/>
    <x v="0"/>
    <x v="1"/>
  </r>
  <r>
    <n v="2261"/>
    <s v="2026-01-12"/>
    <x v="1"/>
    <x v="0"/>
    <x v="0"/>
    <x v="8"/>
    <n v="65"/>
    <n v="74.040000000000006"/>
    <n v="4812.68"/>
    <x v="0"/>
    <x v="2"/>
  </r>
  <r>
    <n v="2132"/>
    <s v="2026-02-13"/>
    <x v="2"/>
    <x v="2"/>
    <x v="0"/>
    <x v="9"/>
    <n v="79"/>
    <n v="58.2"/>
    <n v="4598.1499999999996"/>
    <x v="0"/>
    <x v="1"/>
  </r>
  <r>
    <n v="2232"/>
    <s v="2026-02-22"/>
    <x v="2"/>
    <x v="1"/>
    <x v="1"/>
    <x v="2"/>
    <n v="13"/>
    <n v="352.03"/>
    <n v="4576.33"/>
    <x v="1"/>
    <x v="2"/>
  </r>
  <r>
    <n v="2020"/>
    <s v="2026-02-09"/>
    <x v="0"/>
    <x v="4"/>
    <x v="1"/>
    <x v="7"/>
    <n v="42"/>
    <n v="108.95"/>
    <n v="4575.95"/>
    <x v="0"/>
    <x v="0"/>
  </r>
  <r>
    <n v="2234"/>
    <s v="2026-01-26"/>
    <x v="0"/>
    <x v="0"/>
    <x v="1"/>
    <x v="5"/>
    <n v="21"/>
    <n v="216.99"/>
    <n v="4556.6899999999996"/>
    <x v="1"/>
    <x v="3"/>
  </r>
  <r>
    <n v="2043"/>
    <s v="2026-02-17"/>
    <x v="2"/>
    <x v="5"/>
    <x v="1"/>
    <x v="4"/>
    <n v="19"/>
    <n v="237.9"/>
    <n v="4520.1000000000004"/>
    <x v="1"/>
    <x v="3"/>
  </r>
  <r>
    <n v="2078"/>
    <s v="2026-01-18"/>
    <x v="1"/>
    <x v="5"/>
    <x v="1"/>
    <x v="7"/>
    <n v="37"/>
    <n v="114.84"/>
    <n v="4249.08"/>
    <x v="1"/>
    <x v="1"/>
  </r>
  <r>
    <n v="2005"/>
    <s v="2026-01-16"/>
    <x v="2"/>
    <x v="0"/>
    <x v="1"/>
    <x v="7"/>
    <n v="34"/>
    <n v="124.15"/>
    <n v="4221.08"/>
    <x v="1"/>
    <x v="3"/>
  </r>
  <r>
    <n v="2009"/>
    <s v="2026-03-17"/>
    <x v="3"/>
    <x v="4"/>
    <x v="1"/>
    <x v="4"/>
    <n v="17"/>
    <n v="248.21"/>
    <n v="4219.53"/>
    <x v="1"/>
    <x v="2"/>
  </r>
  <r>
    <n v="2238"/>
    <s v="2026-02-27"/>
    <x v="0"/>
    <x v="4"/>
    <x v="1"/>
    <x v="4"/>
    <n v="18"/>
    <n v="233.91"/>
    <n v="4210.33"/>
    <x v="0"/>
    <x v="2"/>
  </r>
  <r>
    <n v="2172"/>
    <s v="2026-03-23"/>
    <x v="2"/>
    <x v="3"/>
    <x v="0"/>
    <x v="8"/>
    <n v="61"/>
    <n v="67.8"/>
    <n v="4135.82"/>
    <x v="0"/>
    <x v="1"/>
  </r>
  <r>
    <n v="2041"/>
    <s v="2026-02-10"/>
    <x v="2"/>
    <x v="4"/>
    <x v="0"/>
    <x v="8"/>
    <n v="54"/>
    <n v="74.510000000000005"/>
    <n v="4023.8"/>
    <x v="0"/>
    <x v="0"/>
  </r>
  <r>
    <n v="2050"/>
    <s v="2026-03-07"/>
    <x v="2"/>
    <x v="5"/>
    <x v="0"/>
    <x v="9"/>
    <n v="59"/>
    <n v="65.77"/>
    <n v="3880.28"/>
    <x v="1"/>
    <x v="1"/>
  </r>
  <r>
    <n v="2071"/>
    <s v="2026-03-05"/>
    <x v="2"/>
    <x v="3"/>
    <x v="0"/>
    <x v="9"/>
    <n v="65"/>
    <n v="59.14"/>
    <n v="3843.89"/>
    <x v="1"/>
    <x v="2"/>
  </r>
  <r>
    <n v="2054"/>
    <s v="2026-02-03"/>
    <x v="2"/>
    <x v="5"/>
    <x v="1"/>
    <x v="4"/>
    <n v="14"/>
    <n v="273.60000000000002"/>
    <n v="3830.35"/>
    <x v="1"/>
    <x v="0"/>
  </r>
  <r>
    <n v="2183"/>
    <s v="2026-03-28"/>
    <x v="1"/>
    <x v="1"/>
    <x v="0"/>
    <x v="8"/>
    <n v="49"/>
    <n v="75.900000000000006"/>
    <n v="3718.99"/>
    <x v="1"/>
    <x v="1"/>
  </r>
  <r>
    <n v="2189"/>
    <s v="2026-03-02"/>
    <x v="0"/>
    <x v="1"/>
    <x v="0"/>
    <x v="0"/>
    <n v="4"/>
    <n v="906.8"/>
    <n v="3627.21"/>
    <x v="1"/>
    <x v="2"/>
  </r>
  <r>
    <n v="2289"/>
    <s v="2026-03-22"/>
    <x v="1"/>
    <x v="7"/>
    <x v="1"/>
    <x v="5"/>
    <n v="18"/>
    <n v="196.71"/>
    <n v="3540.75"/>
    <x v="0"/>
    <x v="1"/>
  </r>
  <r>
    <n v="2127"/>
    <s v="2026-02-12"/>
    <x v="3"/>
    <x v="4"/>
    <x v="0"/>
    <x v="6"/>
    <n v="21"/>
    <n v="166.89"/>
    <n v="3504.72"/>
    <x v="0"/>
    <x v="2"/>
  </r>
  <r>
    <n v="2049"/>
    <s v="2026-02-15"/>
    <x v="1"/>
    <x v="3"/>
    <x v="0"/>
    <x v="3"/>
    <n v="11"/>
    <n v="317.58"/>
    <n v="3493.43"/>
    <x v="1"/>
    <x v="2"/>
  </r>
  <r>
    <n v="2006"/>
    <s v="2026-02-06"/>
    <x v="3"/>
    <x v="5"/>
    <x v="0"/>
    <x v="3"/>
    <n v="11"/>
    <n v="295.12"/>
    <n v="3246.35"/>
    <x v="0"/>
    <x v="0"/>
  </r>
  <r>
    <n v="2254"/>
    <s v="2026-01-03"/>
    <x v="3"/>
    <x v="3"/>
    <x v="0"/>
    <x v="3"/>
    <n v="10"/>
    <n v="322.24"/>
    <n v="3222.43"/>
    <x v="0"/>
    <x v="1"/>
  </r>
  <r>
    <n v="2131"/>
    <s v="2026-03-16"/>
    <x v="2"/>
    <x v="6"/>
    <x v="0"/>
    <x v="3"/>
    <n v="10"/>
    <n v="300.22000000000003"/>
    <n v="3002.25"/>
    <x v="0"/>
    <x v="3"/>
  </r>
  <r>
    <n v="2249"/>
    <s v="2026-03-03"/>
    <x v="2"/>
    <x v="4"/>
    <x v="0"/>
    <x v="9"/>
    <n v="45"/>
    <n v="63.1"/>
    <n v="2839.42"/>
    <x v="0"/>
    <x v="0"/>
  </r>
  <r>
    <n v="2123"/>
    <s v="2026-01-11"/>
    <x v="3"/>
    <x v="1"/>
    <x v="1"/>
    <x v="5"/>
    <n v="14"/>
    <n v="193.25"/>
    <n v="2705.46"/>
    <x v="0"/>
    <x v="1"/>
  </r>
  <r>
    <n v="2260"/>
    <s v="2026-01-02"/>
    <x v="2"/>
    <x v="0"/>
    <x v="1"/>
    <x v="4"/>
    <n v="10"/>
    <n v="267.64"/>
    <n v="2676.36"/>
    <x v="0"/>
    <x v="0"/>
  </r>
  <r>
    <n v="2008"/>
    <s v="2026-02-02"/>
    <x v="3"/>
    <x v="3"/>
    <x v="0"/>
    <x v="8"/>
    <n v="31"/>
    <n v="79.98"/>
    <n v="2479.4899999999998"/>
    <x v="0"/>
    <x v="1"/>
  </r>
  <r>
    <n v="2164"/>
    <s v="2026-01-16"/>
    <x v="1"/>
    <x v="0"/>
    <x v="1"/>
    <x v="7"/>
    <n v="21"/>
    <n v="116.49"/>
    <n v="2446.35"/>
    <x v="1"/>
    <x v="3"/>
  </r>
  <r>
    <n v="2109"/>
    <s v="2026-03-08"/>
    <x v="3"/>
    <x v="6"/>
    <x v="0"/>
    <x v="9"/>
    <n v="39"/>
    <n v="61.1"/>
    <n v="2382.92"/>
    <x v="0"/>
    <x v="3"/>
  </r>
  <r>
    <n v="2083"/>
    <s v="2026-01-21"/>
    <x v="3"/>
    <x v="3"/>
    <x v="1"/>
    <x v="7"/>
    <n v="19"/>
    <n v="120.19"/>
    <n v="2283.56"/>
    <x v="1"/>
    <x v="2"/>
  </r>
  <r>
    <n v="2241"/>
    <s v="2026-03-04"/>
    <x v="2"/>
    <x v="6"/>
    <x v="0"/>
    <x v="10"/>
    <n v="79"/>
    <n v="26.54"/>
    <n v="2096.9699999999998"/>
    <x v="1"/>
    <x v="1"/>
  </r>
  <r>
    <n v="2152"/>
    <s v="2026-01-22"/>
    <x v="1"/>
    <x v="7"/>
    <x v="1"/>
    <x v="7"/>
    <n v="16"/>
    <n v="127.61"/>
    <n v="2041.78"/>
    <x v="1"/>
    <x v="1"/>
  </r>
  <r>
    <n v="2110"/>
    <s v="2026-02-15"/>
    <x v="0"/>
    <x v="4"/>
    <x v="0"/>
    <x v="10"/>
    <n v="74"/>
    <n v="25.48"/>
    <n v="1885.57"/>
    <x v="1"/>
    <x v="0"/>
  </r>
  <r>
    <n v="2258"/>
    <s v="2026-01-05"/>
    <x v="0"/>
    <x v="3"/>
    <x v="1"/>
    <x v="5"/>
    <n v="9"/>
    <n v="207.19"/>
    <n v="1864.75"/>
    <x v="1"/>
    <x v="2"/>
  </r>
  <r>
    <n v="2262"/>
    <s v="2026-03-17"/>
    <x v="1"/>
    <x v="0"/>
    <x v="0"/>
    <x v="10"/>
    <n v="78"/>
    <n v="23.17"/>
    <n v="1806.92"/>
    <x v="1"/>
    <x v="3"/>
  </r>
  <r>
    <n v="2023"/>
    <s v="2026-01-19"/>
    <x v="1"/>
    <x v="2"/>
    <x v="0"/>
    <x v="10"/>
    <n v="76"/>
    <n v="22.53"/>
    <n v="1712.66"/>
    <x v="0"/>
    <x v="3"/>
  </r>
  <r>
    <n v="2165"/>
    <s v="2026-01-23"/>
    <x v="2"/>
    <x v="0"/>
    <x v="1"/>
    <x v="2"/>
    <n v="5"/>
    <n v="329.35"/>
    <n v="1646.77"/>
    <x v="0"/>
    <x v="3"/>
  </r>
  <r>
    <n v="2108"/>
    <s v="2026-01-24"/>
    <x v="2"/>
    <x v="3"/>
    <x v="0"/>
    <x v="9"/>
    <n v="26"/>
    <n v="63.22"/>
    <n v="1643.82"/>
    <x v="1"/>
    <x v="0"/>
  </r>
  <r>
    <n v="2199"/>
    <s v="2026-02-03"/>
    <x v="1"/>
    <x v="0"/>
    <x v="0"/>
    <x v="10"/>
    <n v="73"/>
    <n v="22.5"/>
    <n v="1642.85"/>
    <x v="0"/>
    <x v="3"/>
  </r>
  <r>
    <n v="2154"/>
    <s v="2026-04-01"/>
    <x v="2"/>
    <x v="4"/>
    <x v="0"/>
    <x v="10"/>
    <n v="59"/>
    <n v="27.2"/>
    <n v="1605.07"/>
    <x v="1"/>
    <x v="2"/>
  </r>
  <r>
    <n v="2296"/>
    <s v="2026-01-04"/>
    <x v="0"/>
    <x v="2"/>
    <x v="0"/>
    <x v="9"/>
    <n v="29"/>
    <n v="54.88"/>
    <n v="1591.6"/>
    <x v="0"/>
    <x v="3"/>
  </r>
  <r>
    <n v="2122"/>
    <s v="2026-04-01"/>
    <x v="3"/>
    <x v="0"/>
    <x v="0"/>
    <x v="10"/>
    <n v="62"/>
    <n v="23.46"/>
    <n v="1454.78"/>
    <x v="0"/>
    <x v="3"/>
  </r>
  <r>
    <n v="2092"/>
    <s v="2026-02-03"/>
    <x v="3"/>
    <x v="4"/>
    <x v="0"/>
    <x v="11"/>
    <n v="74"/>
    <n v="19.3"/>
    <n v="1427.94"/>
    <x v="1"/>
    <x v="3"/>
  </r>
  <r>
    <n v="2184"/>
    <s v="2026-02-09"/>
    <x v="0"/>
    <x v="2"/>
    <x v="0"/>
    <x v="8"/>
    <n v="20"/>
    <n v="69.89"/>
    <n v="1397.86"/>
    <x v="1"/>
    <x v="3"/>
  </r>
  <r>
    <n v="2201"/>
    <s v="2026-03-31"/>
    <x v="2"/>
    <x v="6"/>
    <x v="0"/>
    <x v="11"/>
    <n v="71"/>
    <n v="19.600000000000001"/>
    <n v="1391.56"/>
    <x v="0"/>
    <x v="2"/>
  </r>
  <r>
    <n v="2211"/>
    <s v="2026-02-07"/>
    <x v="1"/>
    <x v="1"/>
    <x v="0"/>
    <x v="10"/>
    <n v="55"/>
    <n v="25.2"/>
    <n v="1386.12"/>
    <x v="0"/>
    <x v="3"/>
  </r>
  <r>
    <n v="2243"/>
    <s v="2026-02-24"/>
    <x v="2"/>
    <x v="7"/>
    <x v="0"/>
    <x v="9"/>
    <n v="23"/>
    <n v="60.07"/>
    <n v="1381.54"/>
    <x v="1"/>
    <x v="2"/>
  </r>
  <r>
    <n v="2264"/>
    <s v="2026-01-14"/>
    <x v="0"/>
    <x v="5"/>
    <x v="0"/>
    <x v="10"/>
    <n v="49"/>
    <n v="25.78"/>
    <n v="1263.08"/>
    <x v="1"/>
    <x v="2"/>
  </r>
  <r>
    <n v="2003"/>
    <s v="2026-01-03"/>
    <x v="3"/>
    <x v="6"/>
    <x v="0"/>
    <x v="8"/>
    <n v="15"/>
    <n v="81.93"/>
    <n v="1228.95"/>
    <x v="0"/>
    <x v="0"/>
  </r>
  <r>
    <n v="2141"/>
    <s v="2026-03-14"/>
    <x v="2"/>
    <x v="3"/>
    <x v="0"/>
    <x v="11"/>
    <n v="59"/>
    <n v="20.62"/>
    <n v="1216.45"/>
    <x v="1"/>
    <x v="2"/>
  </r>
  <r>
    <n v="2004"/>
    <s v="2026-03-28"/>
    <x v="1"/>
    <x v="2"/>
    <x v="0"/>
    <x v="11"/>
    <n v="59"/>
    <n v="20.11"/>
    <n v="1186.57"/>
    <x v="1"/>
    <x v="2"/>
  </r>
  <r>
    <n v="2160"/>
    <s v="2026-01-18"/>
    <x v="2"/>
    <x v="3"/>
    <x v="0"/>
    <x v="10"/>
    <n v="48"/>
    <n v="24.4"/>
    <n v="1171.1099999999999"/>
    <x v="1"/>
    <x v="2"/>
  </r>
  <r>
    <n v="2294"/>
    <s v="2026-01-05"/>
    <x v="3"/>
    <x v="6"/>
    <x v="0"/>
    <x v="9"/>
    <n v="18"/>
    <n v="63.98"/>
    <n v="1151.6600000000001"/>
    <x v="1"/>
    <x v="2"/>
  </r>
  <r>
    <n v="2033"/>
    <s v="2026-01-13"/>
    <x v="1"/>
    <x v="1"/>
    <x v="0"/>
    <x v="11"/>
    <n v="52"/>
    <n v="20.88"/>
    <n v="1085.82"/>
    <x v="1"/>
    <x v="3"/>
  </r>
  <r>
    <n v="2014"/>
    <s v="2026-01-25"/>
    <x v="0"/>
    <x v="5"/>
    <x v="0"/>
    <x v="11"/>
    <n v="57"/>
    <n v="18.829999999999998"/>
    <n v="1073.3699999999999"/>
    <x v="0"/>
    <x v="2"/>
  </r>
  <r>
    <n v="2091"/>
    <s v="2026-03-04"/>
    <x v="1"/>
    <x v="4"/>
    <x v="0"/>
    <x v="10"/>
    <n v="44"/>
    <n v="23.98"/>
    <n v="1055.06"/>
    <x v="0"/>
    <x v="3"/>
  </r>
  <r>
    <n v="2223"/>
    <s v="2026-01-31"/>
    <x v="3"/>
    <x v="0"/>
    <x v="0"/>
    <x v="11"/>
    <n v="52"/>
    <n v="20.11"/>
    <n v="1045.76"/>
    <x v="1"/>
    <x v="3"/>
  </r>
  <r>
    <n v="2143"/>
    <s v="2026-03-02"/>
    <x v="2"/>
    <x v="3"/>
    <x v="0"/>
    <x v="9"/>
    <n v="18"/>
    <n v="58.05"/>
    <n v="1044.9000000000001"/>
    <x v="1"/>
    <x v="2"/>
  </r>
  <r>
    <n v="2197"/>
    <s v="2026-02-03"/>
    <x v="3"/>
    <x v="5"/>
    <x v="1"/>
    <x v="7"/>
    <n v="9"/>
    <n v="113.26"/>
    <n v="1019.37"/>
    <x v="0"/>
    <x v="3"/>
  </r>
  <r>
    <n v="2013"/>
    <s v="2026-02-27"/>
    <x v="1"/>
    <x v="3"/>
    <x v="0"/>
    <x v="10"/>
    <n v="44"/>
    <n v="22.77"/>
    <n v="1002.09"/>
    <x v="0"/>
    <x v="3"/>
  </r>
  <r>
    <n v="2093"/>
    <s v="2026-02-26"/>
    <x v="2"/>
    <x v="0"/>
    <x v="0"/>
    <x v="10"/>
    <n v="43"/>
    <n v="22.72"/>
    <n v="977.16"/>
    <x v="1"/>
    <x v="3"/>
  </r>
  <r>
    <n v="2149"/>
    <s v="2026-03-09"/>
    <x v="1"/>
    <x v="5"/>
    <x v="1"/>
    <x v="4"/>
    <n v="4"/>
    <n v="237.63"/>
    <n v="950.5"/>
    <x v="0"/>
    <x v="3"/>
  </r>
  <r>
    <n v="2224"/>
    <s v="2026-02-10"/>
    <x v="2"/>
    <x v="3"/>
    <x v="1"/>
    <x v="1"/>
    <n v="1"/>
    <n v="869.36"/>
    <n v="869.36"/>
    <x v="1"/>
    <x v="1"/>
  </r>
  <r>
    <n v="2237"/>
    <s v="2026-02-03"/>
    <x v="3"/>
    <x v="1"/>
    <x v="0"/>
    <x v="10"/>
    <n v="33"/>
    <n v="26.02"/>
    <n v="858.79"/>
    <x v="0"/>
    <x v="3"/>
  </r>
  <r>
    <n v="2213"/>
    <s v="2026-01-29"/>
    <x v="1"/>
    <x v="7"/>
    <x v="0"/>
    <x v="11"/>
    <n v="47"/>
    <n v="18.190000000000001"/>
    <n v="854.76"/>
    <x v="1"/>
    <x v="3"/>
  </r>
  <r>
    <n v="2174"/>
    <s v="2026-03-04"/>
    <x v="3"/>
    <x v="4"/>
    <x v="1"/>
    <x v="4"/>
    <n v="3"/>
    <n v="257.61"/>
    <n v="772.84"/>
    <x v="0"/>
    <x v="2"/>
  </r>
  <r>
    <n v="2187"/>
    <s v="2026-01-31"/>
    <x v="3"/>
    <x v="7"/>
    <x v="0"/>
    <x v="10"/>
    <n v="28"/>
    <n v="23.76"/>
    <n v="665.38"/>
    <x v="0"/>
    <x v="3"/>
  </r>
  <r>
    <n v="2019"/>
    <s v="2026-03-01"/>
    <x v="2"/>
    <x v="1"/>
    <x v="2"/>
    <x v="12"/>
    <n v="78"/>
    <n v="8.36"/>
    <n v="651.77"/>
    <x v="0"/>
    <x v="2"/>
  </r>
  <r>
    <n v="2206"/>
    <s v="2026-03-28"/>
    <x v="0"/>
    <x v="6"/>
    <x v="2"/>
    <x v="12"/>
    <n v="75"/>
    <n v="8.51"/>
    <n v="638.08000000000004"/>
    <x v="0"/>
    <x v="3"/>
  </r>
  <r>
    <n v="2057"/>
    <s v="2026-01-24"/>
    <x v="1"/>
    <x v="7"/>
    <x v="2"/>
    <x v="12"/>
    <n v="78"/>
    <n v="8.02"/>
    <n v="625.57000000000005"/>
    <x v="1"/>
    <x v="1"/>
  </r>
  <r>
    <n v="2276"/>
    <s v="2026-03-24"/>
    <x v="0"/>
    <x v="0"/>
    <x v="2"/>
    <x v="12"/>
    <n v="76"/>
    <n v="8.17"/>
    <n v="620.54999999999995"/>
    <x v="0"/>
    <x v="3"/>
  </r>
  <r>
    <n v="2267"/>
    <s v="2026-02-02"/>
    <x v="0"/>
    <x v="4"/>
    <x v="0"/>
    <x v="3"/>
    <n v="2"/>
    <n v="288.69"/>
    <n v="577.39"/>
    <x v="1"/>
    <x v="3"/>
  </r>
  <r>
    <n v="2221"/>
    <s v="2026-03-04"/>
    <x v="1"/>
    <x v="3"/>
    <x v="2"/>
    <x v="12"/>
    <n v="71"/>
    <n v="8.07"/>
    <n v="572.64"/>
    <x v="1"/>
    <x v="0"/>
  </r>
  <r>
    <n v="2212"/>
    <s v="2026-01-19"/>
    <x v="3"/>
    <x v="1"/>
    <x v="0"/>
    <x v="11"/>
    <n v="27"/>
    <n v="19.670000000000002"/>
    <n v="531.19000000000005"/>
    <x v="0"/>
    <x v="3"/>
  </r>
  <r>
    <n v="2031"/>
    <s v="2026-01-13"/>
    <x v="3"/>
    <x v="6"/>
    <x v="1"/>
    <x v="4"/>
    <n v="2"/>
    <n v="264.7"/>
    <n v="529.4"/>
    <x v="1"/>
    <x v="2"/>
  </r>
  <r>
    <n v="2010"/>
    <s v="2026-01-28"/>
    <x v="3"/>
    <x v="6"/>
    <x v="2"/>
    <x v="12"/>
    <n v="62"/>
    <n v="8.48"/>
    <n v="526"/>
    <x v="0"/>
    <x v="2"/>
  </r>
  <r>
    <n v="2088"/>
    <s v="2026-01-11"/>
    <x v="1"/>
    <x v="6"/>
    <x v="1"/>
    <x v="4"/>
    <n v="2"/>
    <n v="258.82"/>
    <n v="517.65"/>
    <x v="1"/>
    <x v="1"/>
  </r>
  <r>
    <n v="2288"/>
    <s v="2026-03-08"/>
    <x v="1"/>
    <x v="1"/>
    <x v="2"/>
    <x v="12"/>
    <n v="63"/>
    <n v="8.0500000000000007"/>
    <n v="507.03"/>
    <x v="0"/>
    <x v="3"/>
  </r>
  <r>
    <n v="2239"/>
    <s v="2026-01-19"/>
    <x v="2"/>
    <x v="5"/>
    <x v="2"/>
    <x v="13"/>
    <n v="79"/>
    <n v="5.95"/>
    <n v="470.22"/>
    <x v="1"/>
    <x v="0"/>
  </r>
  <r>
    <n v="2055"/>
    <s v="2026-01-11"/>
    <x v="1"/>
    <x v="4"/>
    <x v="2"/>
    <x v="13"/>
    <n v="76"/>
    <n v="6.11"/>
    <n v="464.71"/>
    <x v="0"/>
    <x v="1"/>
  </r>
  <r>
    <n v="2059"/>
    <s v="2026-03-25"/>
    <x v="1"/>
    <x v="2"/>
    <x v="0"/>
    <x v="11"/>
    <n v="24"/>
    <n v="19.29"/>
    <n v="463.02"/>
    <x v="0"/>
    <x v="0"/>
  </r>
  <r>
    <n v="2135"/>
    <s v="2026-02-17"/>
    <x v="3"/>
    <x v="5"/>
    <x v="0"/>
    <x v="8"/>
    <n v="6"/>
    <n v="74.73"/>
    <n v="448.4"/>
    <x v="1"/>
    <x v="2"/>
  </r>
  <r>
    <n v="2210"/>
    <s v="2026-03-30"/>
    <x v="3"/>
    <x v="0"/>
    <x v="2"/>
    <x v="13"/>
    <n v="69"/>
    <n v="6.43"/>
    <n v="443.58"/>
    <x v="0"/>
    <x v="3"/>
  </r>
  <r>
    <n v="2192"/>
    <s v="2026-01-24"/>
    <x v="2"/>
    <x v="7"/>
    <x v="2"/>
    <x v="13"/>
    <n v="75"/>
    <n v="5.78"/>
    <n v="433.61"/>
    <x v="0"/>
    <x v="2"/>
  </r>
  <r>
    <n v="2202"/>
    <s v="2026-03-02"/>
    <x v="1"/>
    <x v="6"/>
    <x v="0"/>
    <x v="10"/>
    <n v="18"/>
    <n v="24.03"/>
    <n v="432.49"/>
    <x v="0"/>
    <x v="1"/>
  </r>
  <r>
    <n v="2086"/>
    <s v="2026-02-03"/>
    <x v="0"/>
    <x v="4"/>
    <x v="2"/>
    <x v="13"/>
    <n v="64"/>
    <n v="6.42"/>
    <n v="411"/>
    <x v="1"/>
    <x v="1"/>
  </r>
  <r>
    <n v="2163"/>
    <s v="2026-02-19"/>
    <x v="2"/>
    <x v="4"/>
    <x v="2"/>
    <x v="13"/>
    <n v="71"/>
    <n v="5.77"/>
    <n v="410.01"/>
    <x v="1"/>
    <x v="1"/>
  </r>
  <r>
    <n v="2104"/>
    <s v="2026-03-11"/>
    <x v="0"/>
    <x v="3"/>
    <x v="2"/>
    <x v="12"/>
    <n v="53"/>
    <n v="7.3"/>
    <n v="386.92"/>
    <x v="1"/>
    <x v="2"/>
  </r>
  <r>
    <n v="2251"/>
    <s v="2026-01-12"/>
    <x v="3"/>
    <x v="0"/>
    <x v="2"/>
    <x v="13"/>
    <n v="65"/>
    <n v="5.85"/>
    <n v="380.26"/>
    <x v="1"/>
    <x v="3"/>
  </r>
  <r>
    <n v="2173"/>
    <s v="2026-01-12"/>
    <x v="1"/>
    <x v="1"/>
    <x v="1"/>
    <x v="2"/>
    <n v="1"/>
    <n v="367.9"/>
    <n v="367.9"/>
    <x v="0"/>
    <x v="0"/>
  </r>
  <r>
    <n v="2216"/>
    <s v="2026-01-06"/>
    <x v="2"/>
    <x v="7"/>
    <x v="0"/>
    <x v="9"/>
    <n v="6"/>
    <n v="58.11"/>
    <n v="348.65"/>
    <x v="1"/>
    <x v="3"/>
  </r>
  <r>
    <n v="2137"/>
    <s v="2026-01-23"/>
    <x v="0"/>
    <x v="3"/>
    <x v="2"/>
    <x v="13"/>
    <n v="57"/>
    <n v="5.95"/>
    <n v="338.91"/>
    <x v="0"/>
    <x v="3"/>
  </r>
  <r>
    <n v="2048"/>
    <s v="2026-03-04"/>
    <x v="3"/>
    <x v="4"/>
    <x v="2"/>
    <x v="13"/>
    <n v="56"/>
    <n v="6.01"/>
    <n v="336.61"/>
    <x v="0"/>
    <x v="3"/>
  </r>
  <r>
    <n v="2099"/>
    <s v="2026-01-25"/>
    <x v="0"/>
    <x v="5"/>
    <x v="0"/>
    <x v="11"/>
    <n v="16"/>
    <n v="20.84"/>
    <n v="333.42"/>
    <x v="1"/>
    <x v="3"/>
  </r>
  <r>
    <n v="2246"/>
    <s v="2026-01-18"/>
    <x v="3"/>
    <x v="5"/>
    <x v="2"/>
    <x v="14"/>
    <n v="80"/>
    <n v="4.07"/>
    <n v="325.64"/>
    <x v="1"/>
    <x v="2"/>
  </r>
  <r>
    <n v="2167"/>
    <s v="2026-02-15"/>
    <x v="0"/>
    <x v="3"/>
    <x v="2"/>
    <x v="13"/>
    <n v="50"/>
    <n v="6.43"/>
    <n v="321.41000000000003"/>
    <x v="0"/>
    <x v="3"/>
  </r>
  <r>
    <n v="2040"/>
    <s v="2026-01-26"/>
    <x v="2"/>
    <x v="5"/>
    <x v="0"/>
    <x v="11"/>
    <n v="17"/>
    <n v="18.350000000000001"/>
    <n v="311.97000000000003"/>
    <x v="1"/>
    <x v="3"/>
  </r>
  <r>
    <n v="2029"/>
    <s v="2026-03-20"/>
    <x v="0"/>
    <x v="3"/>
    <x v="2"/>
    <x v="12"/>
    <n v="43"/>
    <n v="7.21"/>
    <n v="310.10000000000002"/>
    <x v="1"/>
    <x v="2"/>
  </r>
  <r>
    <n v="2074"/>
    <s v="2026-03-01"/>
    <x v="0"/>
    <x v="2"/>
    <x v="2"/>
    <x v="14"/>
    <n v="71"/>
    <n v="4.25"/>
    <n v="301.41000000000003"/>
    <x v="1"/>
    <x v="3"/>
  </r>
  <r>
    <n v="2159"/>
    <s v="2026-02-10"/>
    <x v="0"/>
    <x v="6"/>
    <x v="2"/>
    <x v="13"/>
    <n v="46"/>
    <n v="6.51"/>
    <n v="299.27999999999997"/>
    <x v="1"/>
    <x v="2"/>
  </r>
  <r>
    <n v="2279"/>
    <s v="2026-03-17"/>
    <x v="0"/>
    <x v="5"/>
    <x v="2"/>
    <x v="14"/>
    <n v="76"/>
    <n v="3.85"/>
    <n v="292.63"/>
    <x v="1"/>
    <x v="3"/>
  </r>
  <r>
    <n v="2231"/>
    <s v="2026-03-13"/>
    <x v="2"/>
    <x v="7"/>
    <x v="2"/>
    <x v="13"/>
    <n v="53"/>
    <n v="5.51"/>
    <n v="291.83"/>
    <x v="0"/>
    <x v="2"/>
  </r>
  <r>
    <n v="2162"/>
    <s v="2026-03-22"/>
    <x v="3"/>
    <x v="2"/>
    <x v="2"/>
    <x v="13"/>
    <n v="46"/>
    <n v="6.19"/>
    <n v="284.91000000000003"/>
    <x v="0"/>
    <x v="3"/>
  </r>
  <r>
    <n v="2069"/>
    <s v="2026-03-07"/>
    <x v="1"/>
    <x v="6"/>
    <x v="2"/>
    <x v="13"/>
    <n v="49"/>
    <n v="5.73"/>
    <n v="280.93"/>
    <x v="0"/>
    <x v="3"/>
  </r>
  <r>
    <n v="2176"/>
    <s v="2026-01-03"/>
    <x v="0"/>
    <x v="0"/>
    <x v="0"/>
    <x v="11"/>
    <n v="13"/>
    <n v="21.4"/>
    <n v="278.24"/>
    <x v="0"/>
    <x v="0"/>
  </r>
  <r>
    <n v="2011"/>
    <s v="2026-02-11"/>
    <x v="2"/>
    <x v="7"/>
    <x v="2"/>
    <x v="14"/>
    <n v="74"/>
    <n v="3.74"/>
    <n v="276.99"/>
    <x v="0"/>
    <x v="1"/>
  </r>
  <r>
    <n v="2095"/>
    <s v="2026-01-02"/>
    <x v="1"/>
    <x v="6"/>
    <x v="2"/>
    <x v="13"/>
    <n v="44"/>
    <n v="6.08"/>
    <n v="267.32"/>
    <x v="0"/>
    <x v="2"/>
  </r>
  <r>
    <n v="2047"/>
    <s v="2026-03-26"/>
    <x v="2"/>
    <x v="0"/>
    <x v="2"/>
    <x v="14"/>
    <n v="66"/>
    <n v="3.87"/>
    <n v="255.19"/>
    <x v="1"/>
    <x v="3"/>
  </r>
  <r>
    <n v="2273"/>
    <s v="2026-03-07"/>
    <x v="3"/>
    <x v="1"/>
    <x v="2"/>
    <x v="12"/>
    <n v="32"/>
    <n v="7.85"/>
    <n v="251.33"/>
    <x v="0"/>
    <x v="1"/>
  </r>
  <r>
    <n v="2085"/>
    <s v="2026-03-07"/>
    <x v="0"/>
    <x v="1"/>
    <x v="0"/>
    <x v="11"/>
    <n v="12"/>
    <n v="20.91"/>
    <n v="250.86"/>
    <x v="1"/>
    <x v="1"/>
  </r>
  <r>
    <n v="2026"/>
    <s v="2026-01-26"/>
    <x v="3"/>
    <x v="4"/>
    <x v="2"/>
    <x v="15"/>
    <n v="80"/>
    <n v="3.03"/>
    <n v="242.8"/>
    <x v="1"/>
    <x v="1"/>
  </r>
  <r>
    <n v="2066"/>
    <s v="2026-01-27"/>
    <x v="2"/>
    <x v="5"/>
    <x v="2"/>
    <x v="14"/>
    <n v="64"/>
    <n v="3.79"/>
    <n v="242.75"/>
    <x v="1"/>
    <x v="2"/>
  </r>
  <r>
    <n v="2063"/>
    <s v="2026-01-27"/>
    <x v="2"/>
    <x v="6"/>
    <x v="2"/>
    <x v="15"/>
    <n v="75"/>
    <n v="3.12"/>
    <n v="234.36"/>
    <x v="1"/>
    <x v="0"/>
  </r>
  <r>
    <n v="2124"/>
    <s v="2026-03-23"/>
    <x v="0"/>
    <x v="5"/>
    <x v="2"/>
    <x v="13"/>
    <n v="42"/>
    <n v="5.57"/>
    <n v="233.94"/>
    <x v="0"/>
    <x v="1"/>
  </r>
  <r>
    <n v="2222"/>
    <s v="2026-03-16"/>
    <x v="0"/>
    <x v="6"/>
    <x v="2"/>
    <x v="15"/>
    <n v="80"/>
    <n v="2.9"/>
    <n v="231.77"/>
    <x v="0"/>
    <x v="1"/>
  </r>
  <r>
    <n v="2139"/>
    <s v="2026-03-22"/>
    <x v="0"/>
    <x v="2"/>
    <x v="2"/>
    <x v="12"/>
    <n v="31"/>
    <n v="7.47"/>
    <n v="231.48"/>
    <x v="1"/>
    <x v="0"/>
  </r>
  <r>
    <n v="2272"/>
    <s v="2026-03-24"/>
    <x v="0"/>
    <x v="2"/>
    <x v="2"/>
    <x v="14"/>
    <n v="58"/>
    <n v="3.82"/>
    <n v="221.57"/>
    <x v="0"/>
    <x v="1"/>
  </r>
  <r>
    <n v="2256"/>
    <s v="2026-01-21"/>
    <x v="0"/>
    <x v="1"/>
    <x v="2"/>
    <x v="15"/>
    <n v="68"/>
    <n v="3.25"/>
    <n v="221.22"/>
    <x v="1"/>
    <x v="3"/>
  </r>
  <r>
    <n v="2214"/>
    <s v="2026-02-08"/>
    <x v="2"/>
    <x v="2"/>
    <x v="0"/>
    <x v="11"/>
    <n v="10"/>
    <n v="21.93"/>
    <n v="219.3"/>
    <x v="1"/>
    <x v="0"/>
  </r>
  <r>
    <n v="2227"/>
    <s v="2026-02-17"/>
    <x v="0"/>
    <x v="5"/>
    <x v="2"/>
    <x v="13"/>
    <n v="34"/>
    <n v="6.3"/>
    <n v="214.07"/>
    <x v="1"/>
    <x v="1"/>
  </r>
  <r>
    <n v="2116"/>
    <s v="2026-03-01"/>
    <x v="0"/>
    <x v="1"/>
    <x v="2"/>
    <x v="15"/>
    <n v="67"/>
    <n v="3.14"/>
    <n v="210.6"/>
    <x v="1"/>
    <x v="1"/>
  </r>
  <r>
    <n v="2186"/>
    <s v="2026-03-17"/>
    <x v="3"/>
    <x v="1"/>
    <x v="2"/>
    <x v="15"/>
    <n v="72"/>
    <n v="2.85"/>
    <n v="205.01"/>
    <x v="1"/>
    <x v="1"/>
  </r>
  <r>
    <n v="2153"/>
    <s v="2026-03-24"/>
    <x v="3"/>
    <x v="1"/>
    <x v="2"/>
    <x v="14"/>
    <n v="49"/>
    <n v="4.16"/>
    <n v="203.81"/>
    <x v="0"/>
    <x v="2"/>
  </r>
  <r>
    <n v="2179"/>
    <s v="2026-03-10"/>
    <x v="0"/>
    <x v="7"/>
    <x v="2"/>
    <x v="15"/>
    <n v="73"/>
    <n v="2.71"/>
    <n v="197.81"/>
    <x v="1"/>
    <x v="1"/>
  </r>
  <r>
    <n v="2219"/>
    <s v="2026-02-05"/>
    <x v="3"/>
    <x v="6"/>
    <x v="2"/>
    <x v="15"/>
    <n v="72"/>
    <n v="2.73"/>
    <n v="196.75"/>
    <x v="1"/>
    <x v="3"/>
  </r>
  <r>
    <n v="2038"/>
    <s v="2026-02-09"/>
    <x v="3"/>
    <x v="0"/>
    <x v="2"/>
    <x v="15"/>
    <n v="66"/>
    <n v="2.93"/>
    <n v="193.45"/>
    <x v="1"/>
    <x v="3"/>
  </r>
  <r>
    <n v="2209"/>
    <s v="2026-01-16"/>
    <x v="2"/>
    <x v="4"/>
    <x v="2"/>
    <x v="15"/>
    <n v="68"/>
    <n v="2.71"/>
    <n v="184.4"/>
    <x v="0"/>
    <x v="2"/>
  </r>
  <r>
    <n v="2121"/>
    <s v="2026-01-20"/>
    <x v="1"/>
    <x v="6"/>
    <x v="2"/>
    <x v="13"/>
    <n v="31"/>
    <n v="5.94"/>
    <n v="184.1"/>
    <x v="1"/>
    <x v="3"/>
  </r>
  <r>
    <n v="2037"/>
    <s v="2026-03-23"/>
    <x v="1"/>
    <x v="6"/>
    <x v="2"/>
    <x v="12"/>
    <n v="21"/>
    <n v="8.4499999999999993"/>
    <n v="177.44"/>
    <x v="0"/>
    <x v="1"/>
  </r>
  <r>
    <n v="2090"/>
    <s v="2026-03-03"/>
    <x v="1"/>
    <x v="0"/>
    <x v="2"/>
    <x v="13"/>
    <n v="29"/>
    <n v="6.1"/>
    <n v="177.04"/>
    <x v="1"/>
    <x v="0"/>
  </r>
  <r>
    <n v="2257"/>
    <s v="2026-02-23"/>
    <x v="3"/>
    <x v="5"/>
    <x v="2"/>
    <x v="15"/>
    <n v="60"/>
    <n v="2.92"/>
    <n v="175.47"/>
    <x v="1"/>
    <x v="2"/>
  </r>
  <r>
    <n v="2147"/>
    <s v="2026-01-28"/>
    <x v="0"/>
    <x v="5"/>
    <x v="2"/>
    <x v="14"/>
    <n v="42"/>
    <n v="4.09"/>
    <n v="171.66"/>
    <x v="1"/>
    <x v="1"/>
  </r>
  <r>
    <n v="2180"/>
    <s v="2026-01-26"/>
    <x v="2"/>
    <x v="7"/>
    <x v="2"/>
    <x v="15"/>
    <n v="60"/>
    <n v="2.82"/>
    <n v="169.02"/>
    <x v="0"/>
    <x v="3"/>
  </r>
  <r>
    <n v="2200"/>
    <s v="2026-01-18"/>
    <x v="0"/>
    <x v="2"/>
    <x v="0"/>
    <x v="9"/>
    <n v="3"/>
    <n v="55.25"/>
    <n v="165.75"/>
    <x v="1"/>
    <x v="3"/>
  </r>
  <r>
    <n v="2181"/>
    <s v="2026-01-14"/>
    <x v="3"/>
    <x v="7"/>
    <x v="2"/>
    <x v="15"/>
    <n v="54"/>
    <n v="3.04"/>
    <n v="164.28"/>
    <x v="1"/>
    <x v="2"/>
  </r>
  <r>
    <n v="2161"/>
    <s v="2026-01-10"/>
    <x v="0"/>
    <x v="6"/>
    <x v="2"/>
    <x v="15"/>
    <n v="50"/>
    <n v="3.18"/>
    <n v="159.21"/>
    <x v="0"/>
    <x v="1"/>
  </r>
  <r>
    <n v="2274"/>
    <s v="2026-03-23"/>
    <x v="1"/>
    <x v="5"/>
    <x v="2"/>
    <x v="15"/>
    <n v="56"/>
    <n v="2.83"/>
    <n v="158.47999999999999"/>
    <x v="0"/>
    <x v="3"/>
  </r>
  <r>
    <n v="2204"/>
    <s v="2026-03-19"/>
    <x v="0"/>
    <x v="0"/>
    <x v="2"/>
    <x v="15"/>
    <n v="52"/>
    <n v="2.94"/>
    <n v="152.9"/>
    <x v="1"/>
    <x v="3"/>
  </r>
  <r>
    <n v="2233"/>
    <s v="2026-01-06"/>
    <x v="3"/>
    <x v="0"/>
    <x v="2"/>
    <x v="12"/>
    <n v="20"/>
    <n v="7.56"/>
    <n v="151.13"/>
    <x v="0"/>
    <x v="0"/>
  </r>
  <r>
    <n v="2101"/>
    <s v="2026-04-01"/>
    <x v="1"/>
    <x v="3"/>
    <x v="2"/>
    <x v="13"/>
    <n v="23"/>
    <n v="6.51"/>
    <n v="149.63"/>
    <x v="1"/>
    <x v="3"/>
  </r>
  <r>
    <n v="2105"/>
    <s v="2026-02-18"/>
    <x v="1"/>
    <x v="3"/>
    <x v="0"/>
    <x v="8"/>
    <n v="2"/>
    <n v="72.819999999999993"/>
    <n v="145.63999999999999"/>
    <x v="1"/>
    <x v="0"/>
  </r>
  <r>
    <n v="2115"/>
    <s v="2026-01-01"/>
    <x v="1"/>
    <x v="6"/>
    <x v="2"/>
    <x v="14"/>
    <n v="38"/>
    <n v="3.82"/>
    <n v="145.32"/>
    <x v="1"/>
    <x v="1"/>
  </r>
  <r>
    <n v="2056"/>
    <s v="2026-02-14"/>
    <x v="2"/>
    <x v="0"/>
    <x v="0"/>
    <x v="11"/>
    <n v="8"/>
    <n v="18.12"/>
    <n v="144.97999999999999"/>
    <x v="1"/>
    <x v="0"/>
  </r>
  <r>
    <n v="2278"/>
    <s v="2026-03-06"/>
    <x v="0"/>
    <x v="3"/>
    <x v="2"/>
    <x v="14"/>
    <n v="32"/>
    <n v="4.24"/>
    <n v="135.71"/>
    <x v="1"/>
    <x v="1"/>
  </r>
  <r>
    <n v="2157"/>
    <s v="2026-03-21"/>
    <x v="0"/>
    <x v="1"/>
    <x v="2"/>
    <x v="13"/>
    <n v="22"/>
    <n v="6.08"/>
    <n v="133.66999999999999"/>
    <x v="1"/>
    <x v="3"/>
  </r>
  <r>
    <n v="2106"/>
    <s v="2026-02-10"/>
    <x v="0"/>
    <x v="1"/>
    <x v="2"/>
    <x v="16"/>
    <n v="79"/>
    <n v="1.63"/>
    <n v="129.04"/>
    <x v="0"/>
    <x v="2"/>
  </r>
  <r>
    <n v="2295"/>
    <s v="2026-03-20"/>
    <x v="1"/>
    <x v="2"/>
    <x v="2"/>
    <x v="15"/>
    <n v="40"/>
    <n v="3.11"/>
    <n v="124.25"/>
    <x v="1"/>
    <x v="0"/>
  </r>
  <r>
    <n v="2140"/>
    <s v="2026-02-13"/>
    <x v="1"/>
    <x v="2"/>
    <x v="2"/>
    <x v="16"/>
    <n v="76"/>
    <n v="1.59"/>
    <n v="120.58"/>
    <x v="0"/>
    <x v="2"/>
  </r>
  <r>
    <n v="2052"/>
    <s v="2026-03-14"/>
    <x v="3"/>
    <x v="4"/>
    <x v="2"/>
    <x v="13"/>
    <n v="21"/>
    <n v="5.72"/>
    <n v="120.07"/>
    <x v="0"/>
    <x v="0"/>
  </r>
  <r>
    <n v="2155"/>
    <s v="2026-03-23"/>
    <x v="1"/>
    <x v="6"/>
    <x v="2"/>
    <x v="14"/>
    <n v="31"/>
    <n v="3.74"/>
    <n v="115.79"/>
    <x v="0"/>
    <x v="1"/>
  </r>
  <r>
    <n v="2012"/>
    <s v="2026-02-07"/>
    <x v="2"/>
    <x v="7"/>
    <x v="2"/>
    <x v="16"/>
    <n v="73"/>
    <n v="1.55"/>
    <n v="113.04"/>
    <x v="1"/>
    <x v="2"/>
  </r>
  <r>
    <n v="2114"/>
    <s v="2026-03-06"/>
    <x v="1"/>
    <x v="3"/>
    <x v="2"/>
    <x v="14"/>
    <n v="31"/>
    <n v="3.63"/>
    <n v="112.66"/>
    <x v="0"/>
    <x v="1"/>
  </r>
  <r>
    <n v="2126"/>
    <s v="2026-01-11"/>
    <x v="1"/>
    <x v="0"/>
    <x v="2"/>
    <x v="15"/>
    <n v="39"/>
    <n v="2.8"/>
    <n v="109.11"/>
    <x v="1"/>
    <x v="3"/>
  </r>
  <r>
    <n v="2128"/>
    <s v="2026-02-08"/>
    <x v="2"/>
    <x v="6"/>
    <x v="2"/>
    <x v="16"/>
    <n v="71"/>
    <n v="1.52"/>
    <n v="107.92"/>
    <x v="1"/>
    <x v="1"/>
  </r>
  <r>
    <n v="2158"/>
    <s v="2026-01-08"/>
    <x v="3"/>
    <x v="2"/>
    <x v="2"/>
    <x v="12"/>
    <n v="13"/>
    <n v="8.15"/>
    <n v="105.9"/>
    <x v="0"/>
    <x v="1"/>
  </r>
  <r>
    <n v="2215"/>
    <s v="2026-01-17"/>
    <x v="3"/>
    <x v="2"/>
    <x v="2"/>
    <x v="15"/>
    <n v="36"/>
    <n v="2.91"/>
    <n v="104.83"/>
    <x v="1"/>
    <x v="0"/>
  </r>
  <r>
    <n v="2177"/>
    <s v="2026-02-28"/>
    <x v="0"/>
    <x v="4"/>
    <x v="2"/>
    <x v="15"/>
    <n v="32"/>
    <n v="3.13"/>
    <n v="100.03"/>
    <x v="1"/>
    <x v="1"/>
  </r>
  <r>
    <n v="2190"/>
    <s v="2026-01-05"/>
    <x v="1"/>
    <x v="7"/>
    <x v="2"/>
    <x v="16"/>
    <n v="62"/>
    <n v="1.57"/>
    <n v="97.15"/>
    <x v="0"/>
    <x v="1"/>
  </r>
  <r>
    <n v="2299"/>
    <s v="2026-01-13"/>
    <x v="0"/>
    <x v="0"/>
    <x v="2"/>
    <x v="16"/>
    <n v="61"/>
    <n v="1.56"/>
    <n v="94.9"/>
    <x v="1"/>
    <x v="1"/>
  </r>
  <r>
    <n v="2188"/>
    <s v="2026-02-12"/>
    <x v="2"/>
    <x v="4"/>
    <x v="2"/>
    <x v="16"/>
    <n v="62"/>
    <n v="1.45"/>
    <n v="89.88"/>
    <x v="0"/>
    <x v="3"/>
  </r>
  <r>
    <n v="2084"/>
    <s v="2026-01-19"/>
    <x v="1"/>
    <x v="7"/>
    <x v="2"/>
    <x v="12"/>
    <n v="11"/>
    <n v="7.86"/>
    <n v="86.46"/>
    <x v="0"/>
    <x v="2"/>
  </r>
  <r>
    <n v="2245"/>
    <s v="2026-02-25"/>
    <x v="2"/>
    <x v="6"/>
    <x v="2"/>
    <x v="15"/>
    <n v="29"/>
    <n v="2.98"/>
    <n v="86.44"/>
    <x v="1"/>
    <x v="2"/>
  </r>
  <r>
    <n v="2148"/>
    <s v="2026-01-02"/>
    <x v="0"/>
    <x v="4"/>
    <x v="2"/>
    <x v="15"/>
    <n v="28"/>
    <n v="3.07"/>
    <n v="85.93"/>
    <x v="0"/>
    <x v="0"/>
  </r>
  <r>
    <n v="2218"/>
    <s v="2026-02-07"/>
    <x v="3"/>
    <x v="7"/>
    <x v="2"/>
    <x v="15"/>
    <n v="26"/>
    <n v="3.14"/>
    <n v="81.63"/>
    <x v="1"/>
    <x v="1"/>
  </r>
  <r>
    <n v="2195"/>
    <s v="2026-01-11"/>
    <x v="0"/>
    <x v="0"/>
    <x v="2"/>
    <x v="13"/>
    <n v="13"/>
    <n v="6.17"/>
    <n v="80.239999999999995"/>
    <x v="1"/>
    <x v="0"/>
  </r>
  <r>
    <n v="2129"/>
    <s v="2026-02-26"/>
    <x v="0"/>
    <x v="2"/>
    <x v="2"/>
    <x v="16"/>
    <n v="51"/>
    <n v="1.5"/>
    <n v="76.72"/>
    <x v="1"/>
    <x v="3"/>
  </r>
  <r>
    <n v="2298"/>
    <s v="2026-01-05"/>
    <x v="2"/>
    <x v="2"/>
    <x v="2"/>
    <x v="15"/>
    <n v="27"/>
    <n v="2.81"/>
    <n v="75.930000000000007"/>
    <x v="0"/>
    <x v="3"/>
  </r>
  <r>
    <n v="2058"/>
    <s v="2026-03-25"/>
    <x v="1"/>
    <x v="7"/>
    <x v="2"/>
    <x v="12"/>
    <n v="8"/>
    <n v="8.76"/>
    <n v="70.069999999999993"/>
    <x v="1"/>
    <x v="3"/>
  </r>
  <r>
    <n v="2226"/>
    <s v="2026-01-06"/>
    <x v="1"/>
    <x v="4"/>
    <x v="2"/>
    <x v="16"/>
    <n v="39"/>
    <n v="1.57"/>
    <n v="61.23"/>
    <x v="1"/>
    <x v="0"/>
  </r>
  <r>
    <n v="2021"/>
    <s v="2026-01-18"/>
    <x v="1"/>
    <x v="4"/>
    <x v="2"/>
    <x v="16"/>
    <n v="37"/>
    <n v="1.48"/>
    <n v="54.6"/>
    <x v="1"/>
    <x v="1"/>
  </r>
  <r>
    <n v="2250"/>
    <s v="2026-02-09"/>
    <x v="3"/>
    <x v="0"/>
    <x v="2"/>
    <x v="13"/>
    <n v="9"/>
    <n v="5.99"/>
    <n v="53.93"/>
    <x v="1"/>
    <x v="3"/>
  </r>
  <r>
    <n v="2070"/>
    <s v="2026-02-27"/>
    <x v="0"/>
    <x v="1"/>
    <x v="2"/>
    <x v="12"/>
    <n v="6"/>
    <n v="8.68"/>
    <n v="52.08"/>
    <x v="1"/>
    <x v="2"/>
  </r>
  <r>
    <n v="2259"/>
    <s v="2026-02-25"/>
    <x v="1"/>
    <x v="7"/>
    <x v="2"/>
    <x v="12"/>
    <n v="7"/>
    <n v="7.34"/>
    <n v="51.35"/>
    <x v="1"/>
    <x v="3"/>
  </r>
  <r>
    <n v="2277"/>
    <s v="2026-01-30"/>
    <x v="1"/>
    <x v="7"/>
    <x v="2"/>
    <x v="16"/>
    <n v="28"/>
    <n v="1.57"/>
    <n v="43.97"/>
    <x v="1"/>
    <x v="1"/>
  </r>
  <r>
    <n v="2015"/>
    <s v="2026-03-29"/>
    <x v="2"/>
    <x v="3"/>
    <x v="2"/>
    <x v="14"/>
    <n v="10"/>
    <n v="3.86"/>
    <n v="38.590000000000003"/>
    <x v="1"/>
    <x v="2"/>
  </r>
  <r>
    <n v="2025"/>
    <s v="2026-03-23"/>
    <x v="2"/>
    <x v="0"/>
    <x v="2"/>
    <x v="15"/>
    <n v="12"/>
    <n v="3.15"/>
    <n v="37.76"/>
    <x v="1"/>
    <x v="3"/>
  </r>
  <r>
    <n v="2136"/>
    <s v="2026-01-23"/>
    <x v="2"/>
    <x v="6"/>
    <x v="2"/>
    <x v="16"/>
    <n v="21"/>
    <n v="1.58"/>
    <n v="33.159999999999997"/>
    <x v="1"/>
    <x v="1"/>
  </r>
  <r>
    <n v="2242"/>
    <s v="2026-03-20"/>
    <x v="2"/>
    <x v="7"/>
    <x v="2"/>
    <x v="14"/>
    <n v="8"/>
    <n v="3.93"/>
    <n v="31.45"/>
    <x v="1"/>
    <x v="1"/>
  </r>
  <r>
    <n v="2146"/>
    <s v="2026-01-07"/>
    <x v="1"/>
    <x v="3"/>
    <x v="2"/>
    <x v="15"/>
    <n v="11"/>
    <n v="2.79"/>
    <n v="30.65"/>
    <x v="0"/>
    <x v="1"/>
  </r>
  <r>
    <n v="2035"/>
    <s v="2026-01-30"/>
    <x v="0"/>
    <x v="4"/>
    <x v="2"/>
    <x v="13"/>
    <n v="5"/>
    <n v="5.89"/>
    <n v="29.44"/>
    <x v="0"/>
    <x v="3"/>
  </r>
  <r>
    <n v="2170"/>
    <s v="2026-01-17"/>
    <x v="3"/>
    <x v="0"/>
    <x v="2"/>
    <x v="16"/>
    <n v="14"/>
    <n v="1.55"/>
    <n v="21.71"/>
    <x v="1"/>
    <x v="1"/>
  </r>
  <r>
    <n v="2089"/>
    <s v="2026-04-01"/>
    <x v="2"/>
    <x v="3"/>
    <x v="0"/>
    <x v="11"/>
    <n v="1"/>
    <n v="18.27"/>
    <n v="18.27"/>
    <x v="0"/>
    <x v="3"/>
  </r>
  <r>
    <n v="2064"/>
    <s v="2026-01-27"/>
    <x v="0"/>
    <x v="5"/>
    <x v="2"/>
    <x v="13"/>
    <n v="3"/>
    <n v="6.08"/>
    <n v="18.239999999999998"/>
    <x v="0"/>
    <x v="1"/>
  </r>
  <r>
    <n v="2281"/>
    <s v="2026-01-11"/>
    <x v="3"/>
    <x v="3"/>
    <x v="2"/>
    <x v="16"/>
    <n v="12"/>
    <n v="1.5"/>
    <n v="18.04"/>
    <x v="0"/>
    <x v="1"/>
  </r>
  <r>
    <n v="2053"/>
    <s v="2026-01-19"/>
    <x v="2"/>
    <x v="3"/>
    <x v="2"/>
    <x v="14"/>
    <n v="4"/>
    <n v="3.8"/>
    <n v="15.19"/>
    <x v="0"/>
    <x v="1"/>
  </r>
  <r>
    <n v="2018"/>
    <s v="2026-01-17"/>
    <x v="2"/>
    <x v="0"/>
    <x v="2"/>
    <x v="12"/>
    <n v="1"/>
    <n v="7.25"/>
    <n v="7.25"/>
    <x v="0"/>
    <x v="0"/>
  </r>
  <r>
    <n v="2119"/>
    <s v="2026-02-16"/>
    <x v="3"/>
    <x v="2"/>
    <x v="2"/>
    <x v="16"/>
    <n v="4"/>
    <n v="1.43"/>
    <n v="5.72"/>
    <x v="1"/>
    <x v="3"/>
  </r>
  <r>
    <n v="2130"/>
    <s v="2026-03-30"/>
    <x v="3"/>
    <x v="1"/>
    <x v="2"/>
    <x v="14"/>
    <n v="1"/>
    <n v="4.22"/>
    <n v="4.22"/>
    <x v="1"/>
    <x v="0"/>
  </r>
  <r>
    <n v="2230"/>
    <s v="2026-03-24"/>
    <x v="1"/>
    <x v="3"/>
    <x v="2"/>
    <x v="14"/>
    <n v="1"/>
    <n v="3.61"/>
    <n v="3.6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EAEFD-A137-4C03-9EA6-5DA0187FF836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_Rep">
  <location ref="A20:B29" firstHeaderRow="1" firstDataRow="1" firstDataCol="1" rowPageCount="1" colPageCount="1"/>
  <pivotFields count="1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axis="axisRow" dataField="1" showAll="0" sortType="descending">
      <items count="9">
        <item x="6"/>
        <item x="5"/>
        <item x="0"/>
        <item x="7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3"/>
    </i>
    <i>
      <x v="2"/>
    </i>
    <i>
      <x v="4"/>
    </i>
    <i>
      <x v="1"/>
    </i>
    <i>
      <x v="5"/>
    </i>
    <i>
      <x v="6"/>
    </i>
    <i>
      <x v="7"/>
    </i>
    <i t="grand">
      <x/>
    </i>
  </rowItems>
  <colItems count="1">
    <i/>
  </colItems>
  <pageFields count="1">
    <pageField fld="2" item="0" hier="-1"/>
  </pageFields>
  <dataFields count="1">
    <dataField name="Count of Sales_Rep" fld="3" subtotal="count" baseField="0" baseItem="0"/>
  </dataFields>
  <formats count="12"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3" type="button" dataOnly="0" labelOnly="1" outline="0" axis="axisRow" fieldPosition="0"/>
    </format>
    <format dxfId="158">
      <pivotArea dataOnly="0" labelOnly="1" fieldPosition="0">
        <references count="1">
          <reference field="3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3" type="button" dataOnly="0" labelOnly="1" outline="0" axis="axisRow" fieldPosition="0"/>
    </format>
    <format dxfId="152">
      <pivotArea dataOnly="0" labelOnly="1" fieldPosition="0">
        <references count="1">
          <reference field="3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59A0E-70F7-4827-9FF2-15E08C03C458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Category">
  <location ref="A9:B13" firstHeaderRow="1" firstDataRow="1" firstDataCol="1" rowPageCount="1" colPageCount="1"/>
  <pivotFields count="1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0" hier="-1"/>
  </pageFields>
  <dataFields count="1">
    <dataField name="Count of Product_Category" fld="4" subtotal="count" baseField="0" baseItem="0"/>
  </dataFields>
  <formats count="18">
    <format dxfId="192">
      <pivotArea type="all" dataOnly="0" outline="0" fieldPosition="0"/>
    </format>
    <format dxfId="193">
      <pivotArea outline="0" collapsedLevelsAreSubtotals="1" fieldPosition="0"/>
    </format>
    <format dxfId="194">
      <pivotArea field="4" type="button" dataOnly="0" labelOnly="1" outline="0" axis="axisRow" fieldPosition="0"/>
    </format>
    <format dxfId="195">
      <pivotArea dataOnly="0" labelOnly="1" fieldPosition="0">
        <references count="1">
          <reference field="4" count="0"/>
        </references>
      </pivotArea>
    </format>
    <format dxfId="196">
      <pivotArea dataOnly="0" labelOnly="1" grandRow="1" outline="0" fieldPosition="0"/>
    </format>
    <format dxfId="197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4" type="button" dataOnly="0" labelOnly="1" outline="0" axis="axisRow" fieldPosition="0"/>
    </format>
    <format dxfId="188">
      <pivotArea dataOnly="0" labelOnly="1" fieldPosition="0">
        <references count="1">
          <reference field="4" count="0"/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4" type="button" dataOnly="0" labelOnly="1" outline="0" axis="axisRow" fieldPosition="0"/>
    </format>
    <format dxfId="182">
      <pivotArea dataOnly="0" labelOnly="1" fieldPosition="0">
        <references count="1">
          <reference field="4" count="0"/>
        </references>
      </pivotArea>
    </format>
    <format dxfId="181">
      <pivotArea dataOnly="0" labelOnly="1" grandRow="1" outline="0" fieldPosition="0"/>
    </format>
    <format dxfId="1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F4A12-9D26-46BE-BAEE-07D35F75A371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Category">
  <location ref="A9:B13" firstHeaderRow="1" firstDataRow="1" firstDataCol="1" rowPageCount="1" colPageCount="1"/>
  <pivotFields count="1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pageFields count="1">
    <pageField fld="2" item="1" hier="-1"/>
  </pageFields>
  <dataFields count="1">
    <dataField name="Count of Product_Category" fld="4" subtotal="count" baseField="0" baseItem="0"/>
  </dataFields>
  <formats count="18">
    <format dxfId="72">
      <pivotArea type="all" dataOnly="0" outline="0" fieldPosition="0"/>
    </format>
    <format dxfId="73">
      <pivotArea outline="0" collapsedLevelsAreSubtotals="1" fieldPosition="0"/>
    </format>
    <format dxfId="74">
      <pivotArea field="4" type="button" dataOnly="0" labelOnly="1" outline="0" axis="axisRow" fieldPosition="0"/>
    </format>
    <format dxfId="75">
      <pivotArea dataOnly="0" labelOnly="1" fieldPosition="0">
        <references count="1">
          <reference field="4" count="0"/>
        </references>
      </pivotArea>
    </format>
    <format dxfId="76">
      <pivotArea dataOnly="0" labelOnly="1" grandRow="1" outline="0" fieldPosition="0"/>
    </format>
    <format dxfId="77">
      <pivotArea dataOnly="0" labelOnly="1" outline="0" axis="axisValues" fieldPosition="0"/>
    </format>
    <format dxfId="78">
      <pivotArea type="all" dataOnly="0" outline="0" fieldPosition="0"/>
    </format>
    <format dxfId="79">
      <pivotArea outline="0" collapsedLevelsAreSubtotals="1" fieldPosition="0"/>
    </format>
    <format dxfId="80">
      <pivotArea field="4" type="button" dataOnly="0" labelOnly="1" outline="0" axis="axisRow" fieldPosition="0"/>
    </format>
    <format dxfId="81">
      <pivotArea dataOnly="0" labelOnly="1" fieldPosition="0">
        <references count="1">
          <reference field="4" count="0"/>
        </references>
      </pivotArea>
    </format>
    <format dxfId="82">
      <pivotArea dataOnly="0" labelOnly="1" grandRow="1" outline="0" fieldPosition="0"/>
    </format>
    <format dxfId="83">
      <pivotArea dataOnly="0" labelOnly="1" outline="0" axis="axisValues" fieldPosition="0"/>
    </format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4" type="button" dataOnly="0" labelOnly="1" outline="0" axis="axisRow" fieldPosition="0"/>
    </format>
    <format dxfId="87">
      <pivotArea dataOnly="0" labelOnly="1" fieldPosition="0">
        <references count="1">
          <reference field="4" count="0"/>
        </references>
      </pivotArea>
    </format>
    <format dxfId="88">
      <pivotArea dataOnly="0" labelOnly="1" grandRow="1" outline="0" fieldPosition="0"/>
    </format>
    <format dxfId="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2799D-F73D-477E-A75D-7265316C75B6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_Rep">
  <location ref="A20:B29" firstHeaderRow="1" firstDataRow="1" firstDataCol="1" rowPageCount="1" colPageCount="1"/>
  <pivotFields count="1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axis="axisRow" dataField="1" showAll="0" sortType="descending">
      <items count="9">
        <item x="6"/>
        <item x="5"/>
        <item x="0"/>
        <item x="7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5"/>
    </i>
    <i>
      <x v="2"/>
    </i>
    <i>
      <x v="1"/>
    </i>
    <i>
      <x v="7"/>
    </i>
    <i>
      <x v="4"/>
    </i>
    <i>
      <x/>
    </i>
    <i>
      <x v="3"/>
    </i>
    <i>
      <x v="6"/>
    </i>
    <i t="grand">
      <x/>
    </i>
  </rowItems>
  <colItems count="1">
    <i/>
  </colItems>
  <pageFields count="1">
    <pageField fld="2" item="1" hier="-1"/>
  </pageFields>
  <dataFields count="1">
    <dataField name="Count of Sales_Rep" fld="3" subtotal="count" baseField="0" baseItem="0"/>
  </dataFields>
  <formats count="12">
    <format dxfId="90">
      <pivotArea type="all" dataOnly="0" outline="0" fieldPosition="0"/>
    </format>
    <format dxfId="91">
      <pivotArea outline="0" collapsedLevelsAreSubtotals="1" fieldPosition="0"/>
    </format>
    <format dxfId="92">
      <pivotArea field="3" type="button" dataOnly="0" labelOnly="1" outline="0" axis="axisRow" fieldPosition="0"/>
    </format>
    <format dxfId="93">
      <pivotArea dataOnly="0" labelOnly="1" fieldPosition="0">
        <references count="1">
          <reference field="3" count="0"/>
        </references>
      </pivotArea>
    </format>
    <format dxfId="94">
      <pivotArea dataOnly="0" labelOnly="1" grandRow="1" outline="0" fieldPosition="0"/>
    </format>
    <format dxfId="95">
      <pivotArea dataOnly="0" labelOnly="1" outline="0" axis="axisValues" fieldPosition="0"/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field="3" type="button" dataOnly="0" labelOnly="1" outline="0" axis="axisRow" fieldPosition="0"/>
    </format>
    <format dxfId="99">
      <pivotArea dataOnly="0" labelOnly="1" fieldPosition="0">
        <references count="1">
          <reference field="3" count="0"/>
        </references>
      </pivotArea>
    </format>
    <format dxfId="100">
      <pivotArea dataOnly="0" labelOnly="1" grandRow="1" outline="0" fieldPosition="0"/>
    </format>
    <format dxfId="10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E5CA3-4D33-4870-A989-4CA4C76446D5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_Rep">
  <location ref="A20:B29" firstHeaderRow="1" firstDataRow="1" firstDataCol="1" rowPageCount="1" colPageCount="1"/>
  <pivotFields count="1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axis="axisRow" dataField="1" showAll="0" sortType="descending">
      <items count="9">
        <item x="6"/>
        <item x="5"/>
        <item x="0"/>
        <item x="7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7"/>
    </i>
    <i>
      <x v="5"/>
    </i>
    <i>
      <x v="2"/>
    </i>
    <i>
      <x v="1"/>
    </i>
    <i>
      <x v="6"/>
    </i>
    <i>
      <x v="4"/>
    </i>
    <i>
      <x/>
    </i>
    <i>
      <x v="3"/>
    </i>
    <i t="grand">
      <x/>
    </i>
  </rowItems>
  <colItems count="1">
    <i/>
  </colItems>
  <pageFields count="1">
    <pageField fld="2" item="2" hier="-1"/>
  </pageFields>
  <dataFields count="1">
    <dataField name="Count of Sales_Rep" fld="3" subtotal="count" baseField="0" baseItem="0"/>
  </dataFields>
  <formats count="12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0"/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3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A842A-90C0-45EA-8780-F5091911E10E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Category">
  <location ref="A9:B13" firstHeaderRow="1" firstDataRow="1" firstDataCol="1" rowPageCount="1" colPageCount="1"/>
  <pivotFields count="1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item="2" hier="-1"/>
  </pageFields>
  <dataFields count="1">
    <dataField name="Count of Product_Category" fld="4" subtotal="count" baseField="0" baseItem="0"/>
  </dataFields>
  <formats count="18"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4" type="button" dataOnly="0" labelOnly="1" outline="0" axis="axisRow" fieldPosition="0"/>
    </format>
    <format dxfId="57">
      <pivotArea dataOnly="0" labelOnly="1" fieldPosition="0">
        <references count="1">
          <reference field="4" count="0"/>
        </references>
      </pivotArea>
    </format>
    <format dxfId="58">
      <pivotArea dataOnly="0" labelOnly="1" grandRow="1" outline="0" fieldPosition="0"/>
    </format>
    <format dxfId="59">
      <pivotArea dataOnly="0" labelOnly="1" outline="0" axis="axisValues" fieldPosition="0"/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4" type="button" dataOnly="0" labelOnly="1" outline="0" axis="axisRow" fieldPosition="0"/>
    </format>
    <format dxfId="63">
      <pivotArea dataOnly="0" labelOnly="1" fieldPosition="0">
        <references count="1">
          <reference field="4" count="0"/>
        </references>
      </pivotArea>
    </format>
    <format dxfId="64">
      <pivotArea dataOnly="0" labelOnly="1" grandRow="1" outline="0" fieldPosition="0"/>
    </format>
    <format dxfId="65">
      <pivotArea dataOnly="0" labelOnly="1" outline="0" axis="axisValues" fieldPosition="0"/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4" type="button" dataOnly="0" labelOnly="1" outline="0" axis="axisRow" fieldPosition="0"/>
    </format>
    <format dxfId="69">
      <pivotArea dataOnly="0" labelOnly="1" fieldPosition="0">
        <references count="1">
          <reference field="4" count="0"/>
        </references>
      </pivotArea>
    </format>
    <format dxfId="70">
      <pivotArea dataOnly="0" labelOnly="1" grandRow="1" outline="0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48C85-042E-420A-8032-542D5D6DE9FF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Category">
  <location ref="A9:B13" firstHeaderRow="1" firstDataRow="1" firstDataCol="1" rowPageCount="1" colPageCount="1"/>
  <pivotFields count="1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pageFields count="1">
    <pageField fld="2" item="3" hier="-1"/>
  </pageFields>
  <dataFields count="1">
    <dataField name="Count of Product_Category" fld="4" subtotal="count" baseField="0" baseItem="0"/>
  </dataFields>
  <formats count="18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DCFDA-8A75-4F2C-B956-284CD9CC5C22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_Rep">
  <location ref="A20:B29" firstHeaderRow="1" firstDataRow="1" firstDataCol="1" rowPageCount="1" colPageCount="1"/>
  <pivotFields count="1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axis="axisRow" dataField="1" showAll="0" sortType="descending">
      <items count="9">
        <item x="6"/>
        <item x="5"/>
        <item x="0"/>
        <item x="7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3"/>
    </i>
    <i>
      <x v="6"/>
    </i>
    <i>
      <x v="5"/>
    </i>
    <i>
      <x v="7"/>
    </i>
    <i>
      <x v="2"/>
    </i>
    <i>
      <x v="4"/>
    </i>
    <i>
      <x v="1"/>
    </i>
    <i t="grand">
      <x/>
    </i>
  </rowItems>
  <colItems count="1">
    <i/>
  </colItems>
  <pageFields count="1">
    <pageField fld="2" item="3" hier="-1"/>
  </pageFields>
  <dataFields count="1">
    <dataField name="Count of Sales_Rep" fld="3" subtotal="count" baseField="0" baseItem="0"/>
  </dataFields>
  <formats count="12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3" type="button" dataOnly="0" labelOnly="1" outline="0" axis="axisRow" fieldPosition="0"/>
    </format>
    <format dxfId="33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3961A-D0D6-4229-8819-8865ECD34BBE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_Rep">
  <location ref="A20:B29" firstHeaderRow="1" firstDataRow="1" firstDataCol="1" rowPageCount="1" colPageCount="1"/>
  <pivotFields count="11">
    <pivotField showAll="0"/>
    <pivotField showAll="0"/>
    <pivotField showAll="0"/>
    <pivotField axis="axisRow" dataField="1" showAll="0" sortType="descending">
      <items count="9">
        <item x="6"/>
        <item x="5"/>
        <item x="0"/>
        <item x="7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3"/>
  </rowFields>
  <rowItems count="9">
    <i>
      <x/>
    </i>
    <i>
      <x v="2"/>
    </i>
    <i>
      <x v="5"/>
    </i>
    <i>
      <x v="1"/>
    </i>
    <i>
      <x v="4"/>
    </i>
    <i>
      <x v="3"/>
    </i>
    <i>
      <x v="7"/>
    </i>
    <i>
      <x v="6"/>
    </i>
    <i t="grand">
      <x/>
    </i>
  </rowItems>
  <colItems count="1">
    <i/>
  </colItems>
  <pageFields count="1">
    <pageField fld="9" item="0" hier="-1"/>
  </pageFields>
  <dataFields count="1">
    <dataField name="Count of Sales_Rep" fld="3" subtotal="count" baseField="0" baseItem="0"/>
  </dataFields>
  <formats count="6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3" type="button" dataOnly="0" labelOnly="1" outline="0" axis="axisRow" fieldPosition="0"/>
    </format>
    <format dxfId="146">
      <pivotArea dataOnly="0" labelOnly="1" fieldPosition="0">
        <references count="1">
          <reference field="3" count="0"/>
        </references>
      </pivotArea>
    </format>
    <format dxfId="145">
      <pivotArea dataOnly="0" labelOnly="1" grandRow="1" outline="0" fieldPosition="0"/>
    </format>
    <format dxfId="1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2EAB6-4252-4D5D-BAF7-4EA94CABD2CB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6:B10" firstHeaderRow="1" firstDataRow="1" firstDataCol="1" rowPageCount="1" colPageCount="1"/>
  <pivotFields count="11">
    <pivotField showAll="0"/>
    <pivotField showAll="0"/>
    <pivotField showAll="0"/>
    <pivotField showAll="0"/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4"/>
  </rowFields>
  <rowItems count="4">
    <i>
      <x v="2"/>
    </i>
    <i>
      <x v="1"/>
    </i>
    <i>
      <x/>
    </i>
    <i t="grand">
      <x/>
    </i>
  </rowItems>
  <colItems count="1">
    <i/>
  </colItems>
  <pageFields count="1">
    <pageField fld="9" item="0" hier="-1"/>
  </pageFields>
  <dataFields count="1">
    <dataField name="Count of Product_Category" fld="4" subtotal="count" baseField="0" baseItem="0"/>
  </dataFields>
  <formats count="6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4" type="button" dataOnly="0" labelOnly="1" outline="0" axis="axisRow" fieldPosition="0"/>
    </format>
    <format dxfId="176">
      <pivotArea dataOnly="0" labelOnly="1" fieldPosition="0">
        <references count="1">
          <reference field="4" count="0"/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A9348-0D74-42DE-B47F-B5F9B76ED319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6:B10" firstHeaderRow="1" firstDataRow="1" firstDataCol="1" rowPageCount="1" colPageCount="1"/>
  <pivotFields count="11">
    <pivotField showAll="0"/>
    <pivotField showAll="0"/>
    <pivotField showAll="0"/>
    <pivotField showAll="0"/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pageFields count="1">
    <pageField fld="9" item="1" hier="-1"/>
  </pageFields>
  <dataFields count="1">
    <dataField name="Count of Product_Category" fld="4" subtotal="count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AD544-422C-4068-8EB0-B9FB7F5B78F0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_Rep">
  <location ref="A20:B29" firstHeaderRow="1" firstDataRow="1" firstDataCol="1" rowPageCount="1" colPageCount="1"/>
  <pivotFields count="11">
    <pivotField showAll="0"/>
    <pivotField showAll="0"/>
    <pivotField showAll="0"/>
    <pivotField axis="axisRow" dataField="1" showAll="0" sortType="descending">
      <items count="9">
        <item x="6"/>
        <item x="5"/>
        <item x="0"/>
        <item x="7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3"/>
  </rowFields>
  <rowItems count="9">
    <i>
      <x v="5"/>
    </i>
    <i>
      <x/>
    </i>
    <i>
      <x v="7"/>
    </i>
    <i>
      <x v="4"/>
    </i>
    <i>
      <x v="6"/>
    </i>
    <i>
      <x v="2"/>
    </i>
    <i>
      <x v="1"/>
    </i>
    <i>
      <x v="3"/>
    </i>
    <i t="grand">
      <x/>
    </i>
  </rowItems>
  <colItems count="1">
    <i/>
  </colItems>
  <pageFields count="1">
    <pageField fld="9" item="1" hier="-1"/>
  </pageFields>
  <dataFields count="1">
    <dataField name="Count of Sales_Rep" fld="3" subtotal="count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14CB2-6A0B-4897-8E85-AF2FA4E01A16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36:B40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x of Total_Sales" fld="8" subtotal="max" baseField="4" baseItem="0"/>
  </dataFields>
  <formats count="6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4" type="button" dataOnly="0" labelOnly="1" outline="0" axis="axisRow" fieldPosition="0"/>
    </format>
    <format dxfId="140">
      <pivotArea dataOnly="0" labelOnly="1" fieldPosition="0">
        <references count="1">
          <reference field="4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436A3-B1CE-4D94-9CFB-F0EA9B6CCF1A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3:B31" firstHeaderRow="1" firstDataRow="1" firstDataCol="1"/>
  <pivotFields count="11">
    <pivotField showAll="0"/>
    <pivotField showAll="0"/>
    <pivotField showAll="0"/>
    <pivotField showAll="0"/>
    <pivotField showAll="0"/>
    <pivotField axis="axisRow" dataField="1" showAll="0" sortType="descending">
      <items count="18">
        <item x="5"/>
        <item x="1"/>
        <item x="2"/>
        <item x="4"/>
        <item x="8"/>
        <item x="10"/>
        <item x="0"/>
        <item x="14"/>
        <item x="6"/>
        <item x="11"/>
        <item x="15"/>
        <item x="7"/>
        <item x="16"/>
        <item x="13"/>
        <item x="12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5"/>
  </rowFields>
  <rowItems count="18">
    <i>
      <x v="13"/>
    </i>
    <i>
      <x v="10"/>
    </i>
    <i>
      <x v="3"/>
    </i>
    <i>
      <x v="11"/>
    </i>
    <i>
      <x v="14"/>
    </i>
    <i>
      <x v="2"/>
    </i>
    <i>
      <x v="7"/>
    </i>
    <i>
      <x v="9"/>
    </i>
    <i>
      <x/>
    </i>
    <i>
      <x v="5"/>
    </i>
    <i>
      <x v="1"/>
    </i>
    <i>
      <x v="15"/>
    </i>
    <i>
      <x v="12"/>
    </i>
    <i>
      <x v="6"/>
    </i>
    <i>
      <x v="16"/>
    </i>
    <i>
      <x v="8"/>
    </i>
    <i>
      <x v="4"/>
    </i>
    <i t="grand">
      <x/>
    </i>
  </rowItems>
  <colItems count="1">
    <i/>
  </colItems>
  <dataFields count="1">
    <dataField name="Count of Product" fld="5" subtotal="count" baseField="0" baseItem="0"/>
  </dataFields>
  <formats count="6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5" type="button" dataOnly="0" labelOnly="1" outline="0" axis="axisRow" fieldPosition="0"/>
    </format>
    <format dxfId="164">
      <pivotArea dataOnly="0" labelOnly="1" fieldPosition="0">
        <references count="1">
          <reference field="5" count="0"/>
        </references>
      </pivotArea>
    </format>
    <format dxfId="163">
      <pivotArea dataOnly="0" labelOnly="1" grandRow="1" outline="0" fieldPosition="0"/>
    </format>
    <format dxfId="1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40280-3298-47A9-B06C-BB8EC8B65FB4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4:B8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_Sales" fld="8" baseField="0" baseItem="0"/>
  </dataFields>
  <formats count="6">
    <format dxfId="168">
      <pivotArea type="all" dataOnly="0" outline="0" fieldPosition="0"/>
    </format>
    <format dxfId="169">
      <pivotArea outline="0" collapsedLevelsAreSubtotals="1" fieldPosition="0"/>
    </format>
    <format dxfId="170">
      <pivotArea field="4" type="button" dataOnly="0" labelOnly="1" outline="0" axis="axisRow" fieldPosition="0"/>
    </format>
    <format dxfId="171">
      <pivotArea dataOnly="0" labelOnly="1" fieldPosition="0">
        <references count="1">
          <reference field="4" count="0"/>
        </references>
      </pivotArea>
    </format>
    <format dxfId="172">
      <pivotArea dataOnly="0" labelOnly="1" grandRow="1" outline="0" fieldPosition="0"/>
    </format>
    <format dxfId="1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EAE66-5ED1-4EDB-AD57-FB34E93839F5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28:B3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Total_Sales" fld="8" subtotal="average" baseField="10" baseItem="3"/>
  </dataFields>
  <formats count="6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0" type="button" dataOnly="0" labelOnly="1" outline="0" axis="axisRow" fieldPosition="0"/>
    </format>
    <format dxfId="122">
      <pivotArea dataOnly="0" labelOnly="1" fieldPosition="0">
        <references count="1">
          <reference field="10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43CB1-3EB5-43A6-8807-A40E2E4CA83A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17:B22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dataField="1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2"/>
    </i>
    <i>
      <x/>
    </i>
    <i>
      <x v="1"/>
    </i>
    <i>
      <x v="3"/>
    </i>
    <i t="grand">
      <x/>
    </i>
  </rowItems>
  <colItems count="1">
    <i/>
  </colItems>
  <pageFields count="1">
    <pageField fld="9" item="0" hier="-1"/>
  </pageFields>
  <dataFields count="1">
    <dataField name="Count of Payment_Method" fld="10" subtotal="count" baseField="0" baseItem="0"/>
  </dataFields>
  <formats count="6"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10" type="button" dataOnly="0" labelOnly="1" outline="0" axis="axisRow" fieldPosition="0"/>
    </format>
    <format dxfId="128">
      <pivotArea dataOnly="0" labelOnly="1" fieldPosition="0">
        <references count="1">
          <reference field="10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E3600-3680-445E-A056-163A22513C93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4:B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Payment_Method" fld="10" subtotal="count" baseField="0" baseItem="0"/>
  </dataFields>
  <formats count="6"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10" type="button" dataOnly="0" labelOnly="1" outline="0" axis="axisRow" fieldPosition="0"/>
    </format>
    <format dxfId="134">
      <pivotArea dataOnly="0" labelOnly="1" fieldPosition="0">
        <references count="1">
          <reference field="10" count="0"/>
        </references>
      </pivotArea>
    </format>
    <format dxfId="133">
      <pivotArea dataOnly="0" labelOnly="1" grandRow="1" outline="0" fieldPosition="0"/>
    </format>
    <format dxfId="1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F7A79-9843-4A4E-877A-1BB8BFA152FB}" name="PivotTable1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4:B39" firstHeaderRow="1" firstDataRow="1" firstDataCol="1" rowPageCount="1" colPageCount="1"/>
  <pivotFields count="11">
    <pivotField showAll="0"/>
    <pivotField showAll="0"/>
    <pivotField axis="axisRow" dataField="1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9">
        <item x="6"/>
        <item x="5"/>
        <item x="0"/>
        <item x="7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Items count="1">
    <i/>
  </colItems>
  <pageFields count="1">
    <pageField fld="3" item="0" hier="-1"/>
  </pageFields>
  <dataFields count="1">
    <dataField name="Count of Region" fld="2" subtotal="count" baseField="0" baseItem="0"/>
  </dataFields>
  <formats count="6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" type="button" dataOnly="0" labelOnly="1" outline="0" axis="axisRow" fieldPosition="0"/>
    </format>
    <format dxfId="104">
      <pivotArea dataOnly="0" labelOnly="1" fieldPosition="0">
        <references count="1">
          <reference field="2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CAF1F-F1CC-432C-94F2-7493FAA7EA7E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_Rep">
  <location ref="A18:B27" firstHeaderRow="1" firstDataRow="1" firstDataCol="1"/>
  <pivotFields count="11">
    <pivotField showAll="0"/>
    <pivotField showAll="0"/>
    <pivotField showAll="0"/>
    <pivotField axis="axisRow" dataField="1" showAll="0" sortType="descending">
      <items count="9">
        <item x="6"/>
        <item x="5"/>
        <item x="0"/>
        <item x="7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5"/>
    </i>
    <i>
      <x v="2"/>
    </i>
    <i>
      <x v="4"/>
    </i>
    <i>
      <x v="7"/>
    </i>
    <i>
      <x v="1"/>
    </i>
    <i>
      <x v="3"/>
    </i>
    <i>
      <x v="6"/>
    </i>
    <i t="grand">
      <x/>
    </i>
  </rowItems>
  <colItems count="1">
    <i/>
  </colItems>
  <dataFields count="1">
    <dataField name="Count of Sales_Rep" fld="3" subtotal="count" baseField="0" baseItem="0"/>
  </dataFields>
  <formats count="6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3" type="button" dataOnly="0" labelOnly="1" outline="0" axis="axisRow" fieldPosition="0"/>
    </format>
    <format dxfId="110">
      <pivotArea dataOnly="0" labelOnly="1" fieldPosition="0">
        <references count="1">
          <reference field="3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AF444-071A-40BC-914C-57BFB1FB146F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_Rep">
  <location ref="A4:B13" firstHeaderRow="1" firstDataRow="1" firstDataCol="1"/>
  <pivotFields count="11">
    <pivotField showAll="0"/>
    <pivotField showAll="0"/>
    <pivotField showAll="0"/>
    <pivotField axis="axisRow" showAll="0" sortType="descending">
      <items count="9">
        <item x="6"/>
        <item x="5"/>
        <item x="0"/>
        <item x="7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9">
    <i>
      <x v="5"/>
    </i>
    <i>
      <x v="7"/>
    </i>
    <i>
      <x v="2"/>
    </i>
    <i>
      <x v="4"/>
    </i>
    <i>
      <x/>
    </i>
    <i>
      <x v="1"/>
    </i>
    <i>
      <x v="6"/>
    </i>
    <i>
      <x v="3"/>
    </i>
    <i t="grand">
      <x/>
    </i>
  </rowItems>
  <colItems count="1">
    <i/>
  </colItems>
  <dataFields count="1">
    <dataField name="Sum of Total_Sales" fld="8" baseField="0" baseItem="0"/>
  </dataFields>
  <formats count="6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43AFE-8862-48FD-8AFA-F9390B7E9929}" name="PivotTable2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37:B42" firstHeaderRow="1" firstDataRow="1" firstDataCol="1"/>
  <pivotFields count="11"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Total_Sales" fld="8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78CB-6C41-472D-A357-312B28C2109A}" name="PivotTable1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ustomer Type">
  <location ref="A19:B2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Customer_Type" fld="9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BEC5F-2D18-486A-B888-8B920CA4B0F8}" name="PivotTable1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duct Category">
  <location ref="A3:B7" firstHeaderRow="1" firstDataRow="1" firstDataCol="1"/>
  <pivotFields count="11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8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4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zoomScaleNormal="100" workbookViewId="0">
      <pane ySplit="1" topLeftCell="A2" activePane="bottomLeft" state="frozen"/>
      <selection pane="bottomLeft" activeCell="K226" sqref="K226"/>
    </sheetView>
  </sheetViews>
  <sheetFormatPr defaultRowHeight="14.5" x14ac:dyDescent="0.35"/>
  <cols>
    <col min="1" max="1" width="10.81640625" style="1" bestFit="1" customWidth="1"/>
    <col min="2" max="2" width="10.08984375" style="1" bestFit="1" customWidth="1"/>
    <col min="3" max="3" width="8.7265625" style="1"/>
    <col min="4" max="4" width="11.453125" style="1" bestFit="1" customWidth="1"/>
    <col min="5" max="5" width="18" style="1" bestFit="1" customWidth="1"/>
    <col min="6" max="6" width="15.453125" style="1" bestFit="1" customWidth="1"/>
    <col min="7" max="7" width="11.90625" style="1" bestFit="1" customWidth="1"/>
    <col min="8" max="8" width="11.54296875" style="1" bestFit="1" customWidth="1"/>
    <col min="9" max="9" width="12.453125" style="1" bestFit="1" customWidth="1"/>
    <col min="10" max="10" width="16.26953125" style="1" bestFit="1" customWidth="1"/>
    <col min="11" max="11" width="18.08984375" style="1" bestFit="1" customWidth="1"/>
    <col min="12" max="16384" width="8.7265625" style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2001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66</v>
      </c>
      <c r="H2" s="1">
        <v>75.77</v>
      </c>
      <c r="I2" s="1">
        <v>5001.0200000000004</v>
      </c>
      <c r="J2" s="1" t="s">
        <v>16</v>
      </c>
      <c r="K2" s="1" t="s">
        <v>17</v>
      </c>
    </row>
    <row r="3" spans="1:11" x14ac:dyDescent="0.35">
      <c r="A3" s="1">
        <v>2002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80</v>
      </c>
      <c r="H3" s="1">
        <v>183.88</v>
      </c>
      <c r="I3" s="1">
        <v>14710.8</v>
      </c>
      <c r="J3" s="1" t="s">
        <v>16</v>
      </c>
      <c r="K3" s="1" t="s">
        <v>23</v>
      </c>
    </row>
    <row r="4" spans="1:11" x14ac:dyDescent="0.35">
      <c r="A4" s="1">
        <v>2003</v>
      </c>
      <c r="B4" s="1" t="s">
        <v>24</v>
      </c>
      <c r="C4" s="1" t="s">
        <v>19</v>
      </c>
      <c r="D4" s="1" t="s">
        <v>13</v>
      </c>
      <c r="E4" s="1" t="s">
        <v>14</v>
      </c>
      <c r="F4" s="1" t="s">
        <v>15</v>
      </c>
      <c r="G4" s="1">
        <v>15</v>
      </c>
      <c r="H4" s="1">
        <v>81.93</v>
      </c>
      <c r="I4" s="1">
        <v>1228.95</v>
      </c>
      <c r="J4" s="1" t="s">
        <v>16</v>
      </c>
      <c r="K4" s="1" t="s">
        <v>25</v>
      </c>
    </row>
    <row r="5" spans="1:11" x14ac:dyDescent="0.35">
      <c r="A5" s="1">
        <v>2004</v>
      </c>
      <c r="B5" s="1" t="s">
        <v>26</v>
      </c>
      <c r="C5" s="1" t="s">
        <v>27</v>
      </c>
      <c r="D5" s="1" t="s">
        <v>28</v>
      </c>
      <c r="E5" s="1" t="s">
        <v>14</v>
      </c>
      <c r="F5" s="1" t="s">
        <v>29</v>
      </c>
      <c r="G5" s="1">
        <v>59</v>
      </c>
      <c r="H5" s="1">
        <v>20.11</v>
      </c>
      <c r="I5" s="1">
        <v>1186.57</v>
      </c>
      <c r="J5" s="1" t="s">
        <v>30</v>
      </c>
      <c r="K5" s="1" t="s">
        <v>31</v>
      </c>
    </row>
    <row r="6" spans="1:11" x14ac:dyDescent="0.35">
      <c r="A6" s="1">
        <v>2005</v>
      </c>
      <c r="B6" s="1" t="s">
        <v>18</v>
      </c>
      <c r="C6" s="1" t="s">
        <v>32</v>
      </c>
      <c r="D6" s="1" t="s">
        <v>33</v>
      </c>
      <c r="E6" s="1" t="s">
        <v>21</v>
      </c>
      <c r="F6" s="1" t="s">
        <v>34</v>
      </c>
      <c r="G6" s="1">
        <v>34</v>
      </c>
      <c r="H6" s="1">
        <v>124.15</v>
      </c>
      <c r="I6" s="1">
        <v>4221.08</v>
      </c>
      <c r="J6" s="1" t="s">
        <v>30</v>
      </c>
      <c r="K6" s="1" t="s">
        <v>17</v>
      </c>
    </row>
    <row r="7" spans="1:11" x14ac:dyDescent="0.35">
      <c r="A7" s="1">
        <v>2006</v>
      </c>
      <c r="B7" s="1" t="s">
        <v>35</v>
      </c>
      <c r="C7" s="1" t="s">
        <v>19</v>
      </c>
      <c r="D7" s="1" t="s">
        <v>36</v>
      </c>
      <c r="E7" s="1" t="s">
        <v>14</v>
      </c>
      <c r="F7" s="1" t="s">
        <v>37</v>
      </c>
      <c r="G7" s="1">
        <v>11</v>
      </c>
      <c r="H7" s="1">
        <v>295.12</v>
      </c>
      <c r="I7" s="1">
        <v>3246.35</v>
      </c>
      <c r="J7" s="1" t="s">
        <v>16</v>
      </c>
      <c r="K7" s="1" t="s">
        <v>25</v>
      </c>
    </row>
    <row r="8" spans="1:11" x14ac:dyDescent="0.35">
      <c r="A8" s="1">
        <v>2007</v>
      </c>
      <c r="B8" s="1" t="s">
        <v>38</v>
      </c>
      <c r="C8" s="1" t="s">
        <v>32</v>
      </c>
      <c r="D8" s="1" t="s">
        <v>13</v>
      </c>
      <c r="E8" s="1" t="s">
        <v>21</v>
      </c>
      <c r="F8" s="1" t="s">
        <v>22</v>
      </c>
      <c r="G8" s="1">
        <v>68</v>
      </c>
      <c r="H8" s="1">
        <v>197.97</v>
      </c>
      <c r="I8" s="1">
        <v>13461.99</v>
      </c>
      <c r="J8" s="1" t="s">
        <v>30</v>
      </c>
      <c r="K8" s="1" t="s">
        <v>23</v>
      </c>
    </row>
    <row r="9" spans="1:11" x14ac:dyDescent="0.35">
      <c r="A9" s="1">
        <v>2008</v>
      </c>
      <c r="B9" s="1" t="s">
        <v>39</v>
      </c>
      <c r="C9" s="1" t="s">
        <v>19</v>
      </c>
      <c r="D9" s="1" t="s">
        <v>40</v>
      </c>
      <c r="E9" s="1" t="s">
        <v>14</v>
      </c>
      <c r="F9" s="1" t="s">
        <v>15</v>
      </c>
      <c r="G9" s="1">
        <v>31</v>
      </c>
      <c r="H9" s="1">
        <v>79.98</v>
      </c>
      <c r="I9" s="1">
        <v>2479.4899999999998</v>
      </c>
      <c r="J9" s="1" t="s">
        <v>16</v>
      </c>
      <c r="K9" s="1" t="s">
        <v>23</v>
      </c>
    </row>
    <row r="10" spans="1:11" x14ac:dyDescent="0.35">
      <c r="A10" s="1">
        <v>2009</v>
      </c>
      <c r="B10" s="1" t="s">
        <v>41</v>
      </c>
      <c r="C10" s="1" t="s">
        <v>19</v>
      </c>
      <c r="D10" s="1" t="s">
        <v>20</v>
      </c>
      <c r="E10" s="1" t="s">
        <v>21</v>
      </c>
      <c r="F10" s="1" t="s">
        <v>42</v>
      </c>
      <c r="G10" s="1">
        <v>17</v>
      </c>
      <c r="H10" s="1">
        <v>248.21</v>
      </c>
      <c r="I10" s="1">
        <v>4219.53</v>
      </c>
      <c r="J10" s="1" t="s">
        <v>30</v>
      </c>
      <c r="K10" s="1" t="s">
        <v>31</v>
      </c>
    </row>
    <row r="11" spans="1:11" x14ac:dyDescent="0.35">
      <c r="A11" s="1">
        <v>2010</v>
      </c>
      <c r="B11" s="1" t="s">
        <v>43</v>
      </c>
      <c r="C11" s="1" t="s">
        <v>19</v>
      </c>
      <c r="D11" s="1" t="s">
        <v>13</v>
      </c>
      <c r="E11" s="1" t="s">
        <v>44</v>
      </c>
      <c r="F11" s="1" t="s">
        <v>45</v>
      </c>
      <c r="G11" s="1">
        <v>62</v>
      </c>
      <c r="H11" s="1">
        <v>8.48</v>
      </c>
      <c r="I11" s="1">
        <v>526</v>
      </c>
      <c r="J11" s="1" t="s">
        <v>16</v>
      </c>
      <c r="K11" s="1" t="s">
        <v>31</v>
      </c>
    </row>
    <row r="12" spans="1:11" x14ac:dyDescent="0.35">
      <c r="A12" s="1">
        <v>2011</v>
      </c>
      <c r="B12" s="1" t="s">
        <v>46</v>
      </c>
      <c r="C12" s="1" t="s">
        <v>32</v>
      </c>
      <c r="D12" s="1" t="s">
        <v>47</v>
      </c>
      <c r="E12" s="1" t="s">
        <v>44</v>
      </c>
      <c r="F12" s="1" t="s">
        <v>48</v>
      </c>
      <c r="G12" s="1">
        <v>74</v>
      </c>
      <c r="H12" s="1">
        <v>3.74</v>
      </c>
      <c r="I12" s="1">
        <v>276.99</v>
      </c>
      <c r="J12" s="1" t="s">
        <v>16</v>
      </c>
      <c r="K12" s="1" t="s">
        <v>23</v>
      </c>
    </row>
    <row r="13" spans="1:11" x14ac:dyDescent="0.35">
      <c r="A13" s="1">
        <v>2012</v>
      </c>
      <c r="B13" s="1" t="s">
        <v>49</v>
      </c>
      <c r="C13" s="1" t="s">
        <v>32</v>
      </c>
      <c r="D13" s="1" t="s">
        <v>47</v>
      </c>
      <c r="E13" s="1" t="s">
        <v>44</v>
      </c>
      <c r="F13" s="1" t="s">
        <v>50</v>
      </c>
      <c r="G13" s="1">
        <v>73</v>
      </c>
      <c r="H13" s="1">
        <v>1.55</v>
      </c>
      <c r="I13" s="1">
        <v>113.04</v>
      </c>
      <c r="J13" s="1" t="s">
        <v>30</v>
      </c>
      <c r="K13" s="1" t="s">
        <v>31</v>
      </c>
    </row>
    <row r="14" spans="1:11" x14ac:dyDescent="0.35">
      <c r="A14" s="1">
        <v>2013</v>
      </c>
      <c r="B14" s="1" t="s">
        <v>51</v>
      </c>
      <c r="C14" s="1" t="s">
        <v>27</v>
      </c>
      <c r="D14" s="1" t="s">
        <v>40</v>
      </c>
      <c r="E14" s="1" t="s">
        <v>14</v>
      </c>
      <c r="F14" s="1" t="s">
        <v>52</v>
      </c>
      <c r="G14" s="1">
        <v>44</v>
      </c>
      <c r="H14" s="1">
        <v>22.77</v>
      </c>
      <c r="I14" s="1">
        <v>1002.09</v>
      </c>
      <c r="J14" s="1" t="s">
        <v>16</v>
      </c>
      <c r="K14" s="1" t="s">
        <v>17</v>
      </c>
    </row>
    <row r="15" spans="1:11" x14ac:dyDescent="0.35">
      <c r="A15" s="1">
        <v>2014</v>
      </c>
      <c r="B15" s="1" t="s">
        <v>53</v>
      </c>
      <c r="C15" s="1" t="s">
        <v>12</v>
      </c>
      <c r="D15" s="1" t="s">
        <v>36</v>
      </c>
      <c r="E15" s="1" t="s">
        <v>14</v>
      </c>
      <c r="F15" s="1" t="s">
        <v>29</v>
      </c>
      <c r="G15" s="1">
        <v>57</v>
      </c>
      <c r="H15" s="1">
        <v>18.829999999999998</v>
      </c>
      <c r="I15" s="1">
        <v>1073.3699999999999</v>
      </c>
      <c r="J15" s="1" t="s">
        <v>16</v>
      </c>
      <c r="K15" s="1" t="s">
        <v>31</v>
      </c>
    </row>
    <row r="16" spans="1:11" x14ac:dyDescent="0.35">
      <c r="A16" s="1">
        <v>2015</v>
      </c>
      <c r="B16" s="1" t="s">
        <v>54</v>
      </c>
      <c r="C16" s="1" t="s">
        <v>32</v>
      </c>
      <c r="D16" s="1" t="s">
        <v>40</v>
      </c>
      <c r="E16" s="1" t="s">
        <v>44</v>
      </c>
      <c r="F16" s="1" t="s">
        <v>48</v>
      </c>
      <c r="G16" s="1">
        <v>10</v>
      </c>
      <c r="H16" s="1">
        <v>3.86</v>
      </c>
      <c r="I16" s="1">
        <v>38.590000000000003</v>
      </c>
      <c r="J16" s="1" t="s">
        <v>30</v>
      </c>
      <c r="K16" s="1" t="s">
        <v>31</v>
      </c>
    </row>
    <row r="17" spans="1:11" x14ac:dyDescent="0.35">
      <c r="A17" s="1">
        <v>2016</v>
      </c>
      <c r="B17" s="1" t="s">
        <v>55</v>
      </c>
      <c r="C17" s="1" t="s">
        <v>12</v>
      </c>
      <c r="D17" s="1" t="s">
        <v>20</v>
      </c>
      <c r="E17" s="1" t="s">
        <v>14</v>
      </c>
      <c r="F17" s="1" t="s">
        <v>37</v>
      </c>
      <c r="G17" s="1">
        <v>46</v>
      </c>
      <c r="H17" s="1">
        <v>326.23</v>
      </c>
      <c r="I17" s="1">
        <v>15006.42</v>
      </c>
      <c r="J17" s="1" t="s">
        <v>16</v>
      </c>
      <c r="K17" s="1" t="s">
        <v>25</v>
      </c>
    </row>
    <row r="18" spans="1:11" x14ac:dyDescent="0.35">
      <c r="A18" s="1">
        <v>2017</v>
      </c>
      <c r="B18" s="1" t="s">
        <v>56</v>
      </c>
      <c r="C18" s="1" t="s">
        <v>19</v>
      </c>
      <c r="D18" s="1" t="s">
        <v>36</v>
      </c>
      <c r="E18" s="1" t="s">
        <v>14</v>
      </c>
      <c r="F18" s="1" t="s">
        <v>37</v>
      </c>
      <c r="G18" s="1">
        <v>32</v>
      </c>
      <c r="H18" s="1">
        <v>304.10000000000002</v>
      </c>
      <c r="I18" s="1">
        <v>9731.36</v>
      </c>
      <c r="J18" s="1" t="s">
        <v>16</v>
      </c>
      <c r="K18" s="1" t="s">
        <v>17</v>
      </c>
    </row>
    <row r="19" spans="1:11" x14ac:dyDescent="0.35">
      <c r="A19" s="1">
        <v>2018</v>
      </c>
      <c r="B19" s="1" t="s">
        <v>11</v>
      </c>
      <c r="C19" s="1" t="s">
        <v>32</v>
      </c>
      <c r="D19" s="1" t="s">
        <v>33</v>
      </c>
      <c r="E19" s="1" t="s">
        <v>44</v>
      </c>
      <c r="F19" s="1" t="s">
        <v>45</v>
      </c>
      <c r="G19" s="1">
        <v>1</v>
      </c>
      <c r="H19" s="1">
        <v>7.25</v>
      </c>
      <c r="I19" s="1">
        <v>7.25</v>
      </c>
      <c r="J19" s="1" t="s">
        <v>16</v>
      </c>
      <c r="K19" s="1" t="s">
        <v>25</v>
      </c>
    </row>
    <row r="20" spans="1:11" x14ac:dyDescent="0.35">
      <c r="A20" s="1">
        <v>2019</v>
      </c>
      <c r="B20" s="1" t="s">
        <v>57</v>
      </c>
      <c r="C20" s="1" t="s">
        <v>32</v>
      </c>
      <c r="D20" s="1" t="s">
        <v>58</v>
      </c>
      <c r="E20" s="1" t="s">
        <v>44</v>
      </c>
      <c r="F20" s="1" t="s">
        <v>45</v>
      </c>
      <c r="G20" s="1">
        <v>78</v>
      </c>
      <c r="H20" s="1">
        <v>8.36</v>
      </c>
      <c r="I20" s="1">
        <v>651.77</v>
      </c>
      <c r="J20" s="1" t="s">
        <v>16</v>
      </c>
      <c r="K20" s="1" t="s">
        <v>31</v>
      </c>
    </row>
    <row r="21" spans="1:11" x14ac:dyDescent="0.35">
      <c r="A21" s="1">
        <v>2020</v>
      </c>
      <c r="B21" s="1" t="s">
        <v>59</v>
      </c>
      <c r="C21" s="1" t="s">
        <v>12</v>
      </c>
      <c r="D21" s="1" t="s">
        <v>20</v>
      </c>
      <c r="E21" s="1" t="s">
        <v>21</v>
      </c>
      <c r="F21" s="1" t="s">
        <v>34</v>
      </c>
      <c r="G21" s="1">
        <v>42</v>
      </c>
      <c r="H21" s="1">
        <v>108.95</v>
      </c>
      <c r="I21" s="1">
        <v>4575.95</v>
      </c>
      <c r="J21" s="1" t="s">
        <v>16</v>
      </c>
      <c r="K21" s="1" t="s">
        <v>25</v>
      </c>
    </row>
    <row r="22" spans="1:11" x14ac:dyDescent="0.35">
      <c r="A22" s="1">
        <v>2021</v>
      </c>
      <c r="B22" s="1" t="s">
        <v>60</v>
      </c>
      <c r="C22" s="1" t="s">
        <v>27</v>
      </c>
      <c r="D22" s="1" t="s">
        <v>20</v>
      </c>
      <c r="E22" s="1" t="s">
        <v>44</v>
      </c>
      <c r="F22" s="1" t="s">
        <v>50</v>
      </c>
      <c r="G22" s="1">
        <v>37</v>
      </c>
      <c r="H22" s="1">
        <v>1.48</v>
      </c>
      <c r="I22" s="1">
        <v>54.6</v>
      </c>
      <c r="J22" s="1" t="s">
        <v>30</v>
      </c>
      <c r="K22" s="1" t="s">
        <v>23</v>
      </c>
    </row>
    <row r="23" spans="1:11" x14ac:dyDescent="0.35">
      <c r="A23" s="1">
        <v>2022</v>
      </c>
      <c r="B23" s="1" t="s">
        <v>61</v>
      </c>
      <c r="C23" s="1" t="s">
        <v>27</v>
      </c>
      <c r="D23" s="1" t="s">
        <v>20</v>
      </c>
      <c r="E23" s="1" t="s">
        <v>21</v>
      </c>
      <c r="F23" s="1" t="s">
        <v>62</v>
      </c>
      <c r="G23" s="1">
        <v>43</v>
      </c>
      <c r="H23" s="1">
        <v>327.58999999999997</v>
      </c>
      <c r="I23" s="1">
        <v>14086.19</v>
      </c>
      <c r="J23" s="1" t="s">
        <v>30</v>
      </c>
      <c r="K23" s="1" t="s">
        <v>25</v>
      </c>
    </row>
    <row r="24" spans="1:11" x14ac:dyDescent="0.35">
      <c r="A24" s="1">
        <v>2023</v>
      </c>
      <c r="B24" s="1" t="s">
        <v>63</v>
      </c>
      <c r="C24" s="1" t="s">
        <v>27</v>
      </c>
      <c r="D24" s="1" t="s">
        <v>28</v>
      </c>
      <c r="E24" s="1" t="s">
        <v>14</v>
      </c>
      <c r="F24" s="1" t="s">
        <v>52</v>
      </c>
      <c r="G24" s="1">
        <v>76</v>
      </c>
      <c r="H24" s="1">
        <v>22.53</v>
      </c>
      <c r="I24" s="1">
        <v>1712.66</v>
      </c>
      <c r="J24" s="1" t="s">
        <v>16</v>
      </c>
      <c r="K24" s="1" t="s">
        <v>17</v>
      </c>
    </row>
    <row r="25" spans="1:11" x14ac:dyDescent="0.35">
      <c r="A25" s="1">
        <v>2024</v>
      </c>
      <c r="B25" s="1" t="s">
        <v>49</v>
      </c>
      <c r="C25" s="1" t="s">
        <v>19</v>
      </c>
      <c r="D25" s="1" t="s">
        <v>20</v>
      </c>
      <c r="E25" s="1" t="s">
        <v>21</v>
      </c>
      <c r="F25" s="1" t="s">
        <v>62</v>
      </c>
      <c r="G25" s="1">
        <v>23</v>
      </c>
      <c r="H25" s="1">
        <v>315.72000000000003</v>
      </c>
      <c r="I25" s="1">
        <v>7261.6</v>
      </c>
      <c r="J25" s="1" t="s">
        <v>16</v>
      </c>
      <c r="K25" s="1" t="s">
        <v>23</v>
      </c>
    </row>
    <row r="26" spans="1:11" x14ac:dyDescent="0.35">
      <c r="A26" s="1">
        <v>2025</v>
      </c>
      <c r="B26" s="1" t="s">
        <v>64</v>
      </c>
      <c r="C26" s="1" t="s">
        <v>32</v>
      </c>
      <c r="D26" s="1" t="s">
        <v>33</v>
      </c>
      <c r="E26" s="1" t="s">
        <v>44</v>
      </c>
      <c r="F26" s="1" t="s">
        <v>65</v>
      </c>
      <c r="G26" s="1">
        <v>12</v>
      </c>
      <c r="H26" s="1">
        <v>3.15</v>
      </c>
      <c r="I26" s="1">
        <v>37.76</v>
      </c>
      <c r="J26" s="1" t="s">
        <v>30</v>
      </c>
      <c r="K26" s="1" t="s">
        <v>17</v>
      </c>
    </row>
    <row r="27" spans="1:11" x14ac:dyDescent="0.35">
      <c r="A27" s="1">
        <v>2026</v>
      </c>
      <c r="B27" s="1" t="s">
        <v>66</v>
      </c>
      <c r="C27" s="1" t="s">
        <v>19</v>
      </c>
      <c r="D27" s="1" t="s">
        <v>20</v>
      </c>
      <c r="E27" s="1" t="s">
        <v>44</v>
      </c>
      <c r="F27" s="1" t="s">
        <v>65</v>
      </c>
      <c r="G27" s="1">
        <v>80</v>
      </c>
      <c r="H27" s="1">
        <v>3.03</v>
      </c>
      <c r="I27" s="1">
        <v>242.8</v>
      </c>
      <c r="J27" s="1" t="s">
        <v>30</v>
      </c>
      <c r="K27" s="1" t="s">
        <v>23</v>
      </c>
    </row>
    <row r="28" spans="1:11" x14ac:dyDescent="0.35">
      <c r="A28" s="1">
        <v>2027</v>
      </c>
      <c r="B28" s="1" t="s">
        <v>67</v>
      </c>
      <c r="C28" s="1" t="s">
        <v>32</v>
      </c>
      <c r="D28" s="1" t="s">
        <v>47</v>
      </c>
      <c r="E28" s="1" t="s">
        <v>14</v>
      </c>
      <c r="F28" s="1" t="s">
        <v>68</v>
      </c>
      <c r="G28" s="1">
        <v>36</v>
      </c>
      <c r="H28" s="1">
        <v>947.36</v>
      </c>
      <c r="I28" s="1">
        <v>34104.97</v>
      </c>
      <c r="J28" s="1" t="s">
        <v>30</v>
      </c>
      <c r="K28" s="1" t="s">
        <v>25</v>
      </c>
    </row>
    <row r="29" spans="1:11" x14ac:dyDescent="0.35">
      <c r="A29" s="1">
        <v>2028</v>
      </c>
      <c r="B29" s="1" t="s">
        <v>69</v>
      </c>
      <c r="C29" s="1" t="s">
        <v>12</v>
      </c>
      <c r="D29" s="1" t="s">
        <v>58</v>
      </c>
      <c r="E29" s="1" t="s">
        <v>21</v>
      </c>
      <c r="F29" s="1" t="s">
        <v>22</v>
      </c>
      <c r="G29" s="1">
        <v>66</v>
      </c>
      <c r="H29" s="1">
        <v>191.9</v>
      </c>
      <c r="I29" s="1">
        <v>12665.24</v>
      </c>
      <c r="J29" s="1" t="s">
        <v>30</v>
      </c>
      <c r="K29" s="1" t="s">
        <v>31</v>
      </c>
    </row>
    <row r="30" spans="1:11" x14ac:dyDescent="0.35">
      <c r="A30" s="1">
        <v>2029</v>
      </c>
      <c r="B30" s="1" t="s">
        <v>70</v>
      </c>
      <c r="C30" s="1" t="s">
        <v>12</v>
      </c>
      <c r="D30" s="1" t="s">
        <v>40</v>
      </c>
      <c r="E30" s="1" t="s">
        <v>44</v>
      </c>
      <c r="F30" s="1" t="s">
        <v>45</v>
      </c>
      <c r="G30" s="1">
        <v>43</v>
      </c>
      <c r="H30" s="1">
        <v>7.21</v>
      </c>
      <c r="I30" s="1">
        <v>310.10000000000002</v>
      </c>
      <c r="J30" s="1" t="s">
        <v>30</v>
      </c>
      <c r="K30" s="1" t="s">
        <v>31</v>
      </c>
    </row>
    <row r="31" spans="1:11" x14ac:dyDescent="0.35">
      <c r="A31" s="1">
        <v>2030</v>
      </c>
      <c r="B31" s="1" t="s">
        <v>71</v>
      </c>
      <c r="C31" s="1" t="s">
        <v>19</v>
      </c>
      <c r="D31" s="1" t="s">
        <v>47</v>
      </c>
      <c r="E31" s="1" t="s">
        <v>21</v>
      </c>
      <c r="F31" s="1" t="s">
        <v>34</v>
      </c>
      <c r="G31" s="1">
        <v>63</v>
      </c>
      <c r="H31" s="1">
        <v>112.14</v>
      </c>
      <c r="I31" s="1">
        <v>7064.62</v>
      </c>
      <c r="J31" s="1" t="s">
        <v>16</v>
      </c>
      <c r="K31" s="1" t="s">
        <v>31</v>
      </c>
    </row>
    <row r="32" spans="1:11" x14ac:dyDescent="0.35">
      <c r="A32" s="1">
        <v>2031</v>
      </c>
      <c r="B32" s="1" t="s">
        <v>72</v>
      </c>
      <c r="C32" s="1" t="s">
        <v>19</v>
      </c>
      <c r="D32" s="1" t="s">
        <v>13</v>
      </c>
      <c r="E32" s="1" t="s">
        <v>21</v>
      </c>
      <c r="F32" s="1" t="s">
        <v>42</v>
      </c>
      <c r="G32" s="1">
        <v>2</v>
      </c>
      <c r="H32" s="1">
        <v>264.7</v>
      </c>
      <c r="I32" s="1">
        <v>529.4</v>
      </c>
      <c r="J32" s="1" t="s">
        <v>30</v>
      </c>
      <c r="K32" s="1" t="s">
        <v>31</v>
      </c>
    </row>
    <row r="33" spans="1:11" x14ac:dyDescent="0.35">
      <c r="A33" s="1">
        <v>2032</v>
      </c>
      <c r="B33" s="1" t="s">
        <v>72</v>
      </c>
      <c r="C33" s="1" t="s">
        <v>12</v>
      </c>
      <c r="D33" s="1" t="s">
        <v>13</v>
      </c>
      <c r="E33" s="1" t="s">
        <v>21</v>
      </c>
      <c r="F33" s="1" t="s">
        <v>22</v>
      </c>
      <c r="G33" s="1">
        <v>72</v>
      </c>
      <c r="H33" s="1">
        <v>183.07</v>
      </c>
      <c r="I33" s="1">
        <v>13181.33</v>
      </c>
      <c r="J33" s="1" t="s">
        <v>30</v>
      </c>
      <c r="K33" s="1" t="s">
        <v>17</v>
      </c>
    </row>
    <row r="34" spans="1:11" x14ac:dyDescent="0.35">
      <c r="A34" s="1">
        <v>2033</v>
      </c>
      <c r="B34" s="1" t="s">
        <v>72</v>
      </c>
      <c r="C34" s="1" t="s">
        <v>27</v>
      </c>
      <c r="D34" s="1" t="s">
        <v>58</v>
      </c>
      <c r="E34" s="1" t="s">
        <v>14</v>
      </c>
      <c r="F34" s="1" t="s">
        <v>29</v>
      </c>
      <c r="G34" s="1">
        <v>52</v>
      </c>
      <c r="H34" s="1">
        <v>20.88</v>
      </c>
      <c r="I34" s="1">
        <v>1085.82</v>
      </c>
      <c r="J34" s="1" t="s">
        <v>30</v>
      </c>
      <c r="K34" s="1" t="s">
        <v>17</v>
      </c>
    </row>
    <row r="35" spans="1:11" x14ac:dyDescent="0.35">
      <c r="A35" s="1">
        <v>2034</v>
      </c>
      <c r="B35" s="1" t="s">
        <v>51</v>
      </c>
      <c r="C35" s="1" t="s">
        <v>32</v>
      </c>
      <c r="D35" s="1" t="s">
        <v>36</v>
      </c>
      <c r="E35" s="1" t="s">
        <v>21</v>
      </c>
      <c r="F35" s="1" t="s">
        <v>62</v>
      </c>
      <c r="G35" s="1">
        <v>33</v>
      </c>
      <c r="H35" s="1">
        <v>362</v>
      </c>
      <c r="I35" s="1">
        <v>11945.96</v>
      </c>
      <c r="J35" s="1" t="s">
        <v>16</v>
      </c>
      <c r="K35" s="1" t="s">
        <v>25</v>
      </c>
    </row>
    <row r="36" spans="1:11" x14ac:dyDescent="0.35">
      <c r="A36" s="1">
        <v>2035</v>
      </c>
      <c r="B36" s="1" t="s">
        <v>73</v>
      </c>
      <c r="C36" s="1" t="s">
        <v>12</v>
      </c>
      <c r="D36" s="1" t="s">
        <v>20</v>
      </c>
      <c r="E36" s="1" t="s">
        <v>44</v>
      </c>
      <c r="F36" s="1" t="s">
        <v>74</v>
      </c>
      <c r="G36" s="1">
        <v>5</v>
      </c>
      <c r="H36" s="1">
        <v>5.89</v>
      </c>
      <c r="I36" s="1">
        <v>29.44</v>
      </c>
      <c r="J36" s="1" t="s">
        <v>16</v>
      </c>
      <c r="K36" s="1" t="s">
        <v>17</v>
      </c>
    </row>
    <row r="37" spans="1:11" x14ac:dyDescent="0.35">
      <c r="A37" s="1">
        <v>2036</v>
      </c>
      <c r="B37" s="1" t="s">
        <v>75</v>
      </c>
      <c r="C37" s="1" t="s">
        <v>19</v>
      </c>
      <c r="D37" s="1" t="s">
        <v>36</v>
      </c>
      <c r="E37" s="1" t="s">
        <v>21</v>
      </c>
      <c r="F37" s="1" t="s">
        <v>76</v>
      </c>
      <c r="G37" s="1">
        <v>63</v>
      </c>
      <c r="H37" s="1">
        <v>777.51</v>
      </c>
      <c r="I37" s="1">
        <v>48982.99</v>
      </c>
      <c r="J37" s="1" t="s">
        <v>30</v>
      </c>
      <c r="K37" s="1" t="s">
        <v>31</v>
      </c>
    </row>
    <row r="38" spans="1:11" x14ac:dyDescent="0.35">
      <c r="A38" s="1">
        <v>2037</v>
      </c>
      <c r="B38" s="1" t="s">
        <v>64</v>
      </c>
      <c r="C38" s="1" t="s">
        <v>27</v>
      </c>
      <c r="D38" s="1" t="s">
        <v>13</v>
      </c>
      <c r="E38" s="1" t="s">
        <v>44</v>
      </c>
      <c r="F38" s="1" t="s">
        <v>45</v>
      </c>
      <c r="G38" s="1">
        <v>21</v>
      </c>
      <c r="H38" s="1">
        <v>8.4499999999999993</v>
      </c>
      <c r="I38" s="1">
        <v>177.44</v>
      </c>
      <c r="J38" s="1" t="s">
        <v>16</v>
      </c>
      <c r="K38" s="1" t="s">
        <v>23</v>
      </c>
    </row>
    <row r="39" spans="1:11" x14ac:dyDescent="0.35">
      <c r="A39" s="1">
        <v>2038</v>
      </c>
      <c r="B39" s="1" t="s">
        <v>59</v>
      </c>
      <c r="C39" s="1" t="s">
        <v>19</v>
      </c>
      <c r="D39" s="1" t="s">
        <v>33</v>
      </c>
      <c r="E39" s="1" t="s">
        <v>44</v>
      </c>
      <c r="F39" s="1" t="s">
        <v>65</v>
      </c>
      <c r="G39" s="1">
        <v>66</v>
      </c>
      <c r="H39" s="1">
        <v>2.93</v>
      </c>
      <c r="I39" s="1">
        <v>193.45</v>
      </c>
      <c r="J39" s="1" t="s">
        <v>30</v>
      </c>
      <c r="K39" s="1" t="s">
        <v>17</v>
      </c>
    </row>
    <row r="40" spans="1:11" x14ac:dyDescent="0.35">
      <c r="A40" s="1">
        <v>2039</v>
      </c>
      <c r="B40" s="1" t="s">
        <v>77</v>
      </c>
      <c r="C40" s="1" t="s">
        <v>19</v>
      </c>
      <c r="D40" s="1" t="s">
        <v>40</v>
      </c>
      <c r="E40" s="1" t="s">
        <v>21</v>
      </c>
      <c r="F40" s="1" t="s">
        <v>76</v>
      </c>
      <c r="G40" s="1">
        <v>44</v>
      </c>
      <c r="H40" s="1">
        <v>872.96</v>
      </c>
      <c r="I40" s="1">
        <v>38410.050000000003</v>
      </c>
      <c r="J40" s="1" t="s">
        <v>16</v>
      </c>
      <c r="K40" s="1" t="s">
        <v>25</v>
      </c>
    </row>
    <row r="41" spans="1:11" x14ac:dyDescent="0.35">
      <c r="A41" s="1">
        <v>2040</v>
      </c>
      <c r="B41" s="1" t="s">
        <v>66</v>
      </c>
      <c r="C41" s="1" t="s">
        <v>32</v>
      </c>
      <c r="D41" s="1" t="s">
        <v>36</v>
      </c>
      <c r="E41" s="1" t="s">
        <v>14</v>
      </c>
      <c r="F41" s="1" t="s">
        <v>29</v>
      </c>
      <c r="G41" s="1">
        <v>17</v>
      </c>
      <c r="H41" s="1">
        <v>18.350000000000001</v>
      </c>
      <c r="I41" s="1">
        <v>311.97000000000003</v>
      </c>
      <c r="J41" s="1" t="s">
        <v>30</v>
      </c>
      <c r="K41" s="1" t="s">
        <v>17</v>
      </c>
    </row>
    <row r="42" spans="1:11" x14ac:dyDescent="0.35">
      <c r="A42" s="1">
        <v>2041</v>
      </c>
      <c r="B42" s="1" t="s">
        <v>78</v>
      </c>
      <c r="C42" s="1" t="s">
        <v>32</v>
      </c>
      <c r="D42" s="1" t="s">
        <v>20</v>
      </c>
      <c r="E42" s="1" t="s">
        <v>14</v>
      </c>
      <c r="F42" s="1" t="s">
        <v>15</v>
      </c>
      <c r="G42" s="1">
        <v>54</v>
      </c>
      <c r="H42" s="1">
        <v>74.510000000000005</v>
      </c>
      <c r="I42" s="1">
        <v>4023.8</v>
      </c>
      <c r="J42" s="1" t="s">
        <v>16</v>
      </c>
      <c r="K42" s="1" t="s">
        <v>25</v>
      </c>
    </row>
    <row r="43" spans="1:11" x14ac:dyDescent="0.35">
      <c r="A43" s="1">
        <v>2042</v>
      </c>
      <c r="B43" s="1" t="s">
        <v>79</v>
      </c>
      <c r="C43" s="1" t="s">
        <v>27</v>
      </c>
      <c r="D43" s="1" t="s">
        <v>33</v>
      </c>
      <c r="E43" s="1" t="s">
        <v>21</v>
      </c>
      <c r="F43" s="1" t="s">
        <v>22</v>
      </c>
      <c r="G43" s="1">
        <v>75</v>
      </c>
      <c r="H43" s="1">
        <v>219.16</v>
      </c>
      <c r="I43" s="1">
        <v>16437.080000000002</v>
      </c>
      <c r="J43" s="1" t="s">
        <v>30</v>
      </c>
      <c r="K43" s="1" t="s">
        <v>25</v>
      </c>
    </row>
    <row r="44" spans="1:11" x14ac:dyDescent="0.35">
      <c r="A44" s="1">
        <v>2043</v>
      </c>
      <c r="B44" s="1" t="s">
        <v>80</v>
      </c>
      <c r="C44" s="1" t="s">
        <v>32</v>
      </c>
      <c r="D44" s="1" t="s">
        <v>36</v>
      </c>
      <c r="E44" s="1" t="s">
        <v>21</v>
      </c>
      <c r="F44" s="1" t="s">
        <v>42</v>
      </c>
      <c r="G44" s="1">
        <v>19</v>
      </c>
      <c r="H44" s="1">
        <v>237.9</v>
      </c>
      <c r="I44" s="1">
        <v>4520.1000000000004</v>
      </c>
      <c r="J44" s="1" t="s">
        <v>30</v>
      </c>
      <c r="K44" s="1" t="s">
        <v>17</v>
      </c>
    </row>
    <row r="45" spans="1:11" x14ac:dyDescent="0.35">
      <c r="A45" s="1">
        <v>2044</v>
      </c>
      <c r="B45" s="1" t="s">
        <v>38</v>
      </c>
      <c r="C45" s="1" t="s">
        <v>12</v>
      </c>
      <c r="D45" s="1" t="s">
        <v>20</v>
      </c>
      <c r="E45" s="1" t="s">
        <v>21</v>
      </c>
      <c r="F45" s="1" t="s">
        <v>62</v>
      </c>
      <c r="G45" s="1">
        <v>29</v>
      </c>
      <c r="H45" s="1">
        <v>367.57</v>
      </c>
      <c r="I45" s="1">
        <v>10659.45</v>
      </c>
      <c r="J45" s="1" t="s">
        <v>30</v>
      </c>
      <c r="K45" s="1" t="s">
        <v>23</v>
      </c>
    </row>
    <row r="46" spans="1:11" x14ac:dyDescent="0.35">
      <c r="A46" s="1">
        <v>2045</v>
      </c>
      <c r="B46" s="1" t="s">
        <v>38</v>
      </c>
      <c r="C46" s="1" t="s">
        <v>32</v>
      </c>
      <c r="D46" s="1" t="s">
        <v>33</v>
      </c>
      <c r="E46" s="1" t="s">
        <v>21</v>
      </c>
      <c r="F46" s="1" t="s">
        <v>34</v>
      </c>
      <c r="G46" s="1">
        <v>60</v>
      </c>
      <c r="H46" s="1">
        <v>131.07</v>
      </c>
      <c r="I46" s="1">
        <v>7864.33</v>
      </c>
      <c r="J46" s="1" t="s">
        <v>30</v>
      </c>
      <c r="K46" s="1" t="s">
        <v>31</v>
      </c>
    </row>
    <row r="47" spans="1:11" x14ac:dyDescent="0.35">
      <c r="A47" s="1">
        <v>2046</v>
      </c>
      <c r="B47" s="1" t="s">
        <v>81</v>
      </c>
      <c r="C47" s="1" t="s">
        <v>32</v>
      </c>
      <c r="D47" s="1" t="s">
        <v>13</v>
      </c>
      <c r="E47" s="1" t="s">
        <v>14</v>
      </c>
      <c r="F47" s="1" t="s">
        <v>82</v>
      </c>
      <c r="G47" s="1">
        <v>41</v>
      </c>
      <c r="H47" s="1">
        <v>177.79</v>
      </c>
      <c r="I47" s="1">
        <v>7289.4</v>
      </c>
      <c r="J47" s="1" t="s">
        <v>16</v>
      </c>
      <c r="K47" s="1" t="s">
        <v>25</v>
      </c>
    </row>
    <row r="48" spans="1:11" x14ac:dyDescent="0.35">
      <c r="A48" s="1">
        <v>2047</v>
      </c>
      <c r="B48" s="1" t="s">
        <v>83</v>
      </c>
      <c r="C48" s="1" t="s">
        <v>32</v>
      </c>
      <c r="D48" s="1" t="s">
        <v>33</v>
      </c>
      <c r="E48" s="1" t="s">
        <v>44</v>
      </c>
      <c r="F48" s="1" t="s">
        <v>48</v>
      </c>
      <c r="G48" s="1">
        <v>66</v>
      </c>
      <c r="H48" s="1">
        <v>3.87</v>
      </c>
      <c r="I48" s="1">
        <v>255.19</v>
      </c>
      <c r="J48" s="1" t="s">
        <v>30</v>
      </c>
      <c r="K48" s="1" t="s">
        <v>17</v>
      </c>
    </row>
    <row r="49" spans="1:11" x14ac:dyDescent="0.35">
      <c r="A49" s="1">
        <v>2048</v>
      </c>
      <c r="B49" s="1" t="s">
        <v>84</v>
      </c>
      <c r="C49" s="1" t="s">
        <v>19</v>
      </c>
      <c r="D49" s="1" t="s">
        <v>20</v>
      </c>
      <c r="E49" s="1" t="s">
        <v>44</v>
      </c>
      <c r="F49" s="1" t="s">
        <v>74</v>
      </c>
      <c r="G49" s="1">
        <v>56</v>
      </c>
      <c r="H49" s="1">
        <v>6.01</v>
      </c>
      <c r="I49" s="1">
        <v>336.61</v>
      </c>
      <c r="J49" s="1" t="s">
        <v>16</v>
      </c>
      <c r="K49" s="1" t="s">
        <v>17</v>
      </c>
    </row>
    <row r="50" spans="1:11" x14ac:dyDescent="0.35">
      <c r="A50" s="1">
        <v>2049</v>
      </c>
      <c r="B50" s="1" t="s">
        <v>85</v>
      </c>
      <c r="C50" s="1" t="s">
        <v>27</v>
      </c>
      <c r="D50" s="1" t="s">
        <v>40</v>
      </c>
      <c r="E50" s="1" t="s">
        <v>14</v>
      </c>
      <c r="F50" s="1" t="s">
        <v>37</v>
      </c>
      <c r="G50" s="1">
        <v>11</v>
      </c>
      <c r="H50" s="1">
        <v>317.58</v>
      </c>
      <c r="I50" s="1">
        <v>3493.43</v>
      </c>
      <c r="J50" s="1" t="s">
        <v>30</v>
      </c>
      <c r="K50" s="1" t="s">
        <v>31</v>
      </c>
    </row>
    <row r="51" spans="1:11" x14ac:dyDescent="0.35">
      <c r="A51" s="1">
        <v>2050</v>
      </c>
      <c r="B51" s="1" t="s">
        <v>86</v>
      </c>
      <c r="C51" s="1" t="s">
        <v>32</v>
      </c>
      <c r="D51" s="1" t="s">
        <v>36</v>
      </c>
      <c r="E51" s="1" t="s">
        <v>14</v>
      </c>
      <c r="F51" s="1" t="s">
        <v>87</v>
      </c>
      <c r="G51" s="1">
        <v>59</v>
      </c>
      <c r="H51" s="1">
        <v>65.77</v>
      </c>
      <c r="I51" s="1">
        <v>3880.28</v>
      </c>
      <c r="J51" s="1" t="s">
        <v>30</v>
      </c>
      <c r="K51" s="1" t="s">
        <v>23</v>
      </c>
    </row>
    <row r="52" spans="1:11" x14ac:dyDescent="0.35">
      <c r="A52" s="1">
        <v>2051</v>
      </c>
      <c r="B52" s="1" t="s">
        <v>88</v>
      </c>
      <c r="C52" s="1" t="s">
        <v>32</v>
      </c>
      <c r="D52" s="1" t="s">
        <v>13</v>
      </c>
      <c r="E52" s="1" t="s">
        <v>21</v>
      </c>
      <c r="F52" s="1" t="s">
        <v>62</v>
      </c>
      <c r="G52" s="1">
        <v>47</v>
      </c>
      <c r="H52" s="1">
        <v>357.11</v>
      </c>
      <c r="I52" s="1">
        <v>16784.23</v>
      </c>
      <c r="J52" s="1" t="s">
        <v>30</v>
      </c>
      <c r="K52" s="1" t="s">
        <v>31</v>
      </c>
    </row>
    <row r="53" spans="1:11" x14ac:dyDescent="0.35">
      <c r="A53" s="1">
        <v>2052</v>
      </c>
      <c r="B53" s="1" t="s">
        <v>89</v>
      </c>
      <c r="C53" s="1" t="s">
        <v>19</v>
      </c>
      <c r="D53" s="1" t="s">
        <v>20</v>
      </c>
      <c r="E53" s="1" t="s">
        <v>44</v>
      </c>
      <c r="F53" s="1" t="s">
        <v>74</v>
      </c>
      <c r="G53" s="1">
        <v>21</v>
      </c>
      <c r="H53" s="1">
        <v>5.72</v>
      </c>
      <c r="I53" s="1">
        <v>120.07</v>
      </c>
      <c r="J53" s="1" t="s">
        <v>16</v>
      </c>
      <c r="K53" s="1" t="s">
        <v>25</v>
      </c>
    </row>
    <row r="54" spans="1:11" x14ac:dyDescent="0.35">
      <c r="A54" s="1">
        <v>2053</v>
      </c>
      <c r="B54" s="1" t="s">
        <v>63</v>
      </c>
      <c r="C54" s="1" t="s">
        <v>32</v>
      </c>
      <c r="D54" s="1" t="s">
        <v>40</v>
      </c>
      <c r="E54" s="1" t="s">
        <v>44</v>
      </c>
      <c r="F54" s="1" t="s">
        <v>48</v>
      </c>
      <c r="G54" s="1">
        <v>4</v>
      </c>
      <c r="H54" s="1">
        <v>3.8</v>
      </c>
      <c r="I54" s="1">
        <v>15.19</v>
      </c>
      <c r="J54" s="1" t="s">
        <v>16</v>
      </c>
      <c r="K54" s="1" t="s">
        <v>23</v>
      </c>
    </row>
    <row r="55" spans="1:11" x14ac:dyDescent="0.35">
      <c r="A55" s="1">
        <v>2054</v>
      </c>
      <c r="B55" s="1" t="s">
        <v>90</v>
      </c>
      <c r="C55" s="1" t="s">
        <v>32</v>
      </c>
      <c r="D55" s="1" t="s">
        <v>36</v>
      </c>
      <c r="E55" s="1" t="s">
        <v>21</v>
      </c>
      <c r="F55" s="1" t="s">
        <v>42</v>
      </c>
      <c r="G55" s="1">
        <v>14</v>
      </c>
      <c r="H55" s="1">
        <v>273.60000000000002</v>
      </c>
      <c r="I55" s="1">
        <v>3830.35</v>
      </c>
      <c r="J55" s="1" t="s">
        <v>30</v>
      </c>
      <c r="K55" s="1" t="s">
        <v>25</v>
      </c>
    </row>
    <row r="56" spans="1:11" x14ac:dyDescent="0.35">
      <c r="A56" s="1">
        <v>2055</v>
      </c>
      <c r="B56" s="1" t="s">
        <v>91</v>
      </c>
      <c r="C56" s="1" t="s">
        <v>27</v>
      </c>
      <c r="D56" s="1" t="s">
        <v>20</v>
      </c>
      <c r="E56" s="1" t="s">
        <v>44</v>
      </c>
      <c r="F56" s="1" t="s">
        <v>74</v>
      </c>
      <c r="G56" s="1">
        <v>76</v>
      </c>
      <c r="H56" s="1">
        <v>6.11</v>
      </c>
      <c r="I56" s="1">
        <v>464.71</v>
      </c>
      <c r="J56" s="1" t="s">
        <v>16</v>
      </c>
      <c r="K56" s="1" t="s">
        <v>23</v>
      </c>
    </row>
    <row r="57" spans="1:11" x14ac:dyDescent="0.35">
      <c r="A57" s="1">
        <v>2056</v>
      </c>
      <c r="B57" s="1" t="s">
        <v>61</v>
      </c>
      <c r="C57" s="1" t="s">
        <v>32</v>
      </c>
      <c r="D57" s="1" t="s">
        <v>33</v>
      </c>
      <c r="E57" s="1" t="s">
        <v>14</v>
      </c>
      <c r="F57" s="1" t="s">
        <v>29</v>
      </c>
      <c r="G57" s="1">
        <v>8</v>
      </c>
      <c r="H57" s="1">
        <v>18.12</v>
      </c>
      <c r="I57" s="1">
        <v>144.97999999999999</v>
      </c>
      <c r="J57" s="1" t="s">
        <v>30</v>
      </c>
      <c r="K57" s="1" t="s">
        <v>25</v>
      </c>
    </row>
    <row r="58" spans="1:11" x14ac:dyDescent="0.35">
      <c r="A58" s="1">
        <v>2057</v>
      </c>
      <c r="B58" s="1" t="s">
        <v>92</v>
      </c>
      <c r="C58" s="1" t="s">
        <v>27</v>
      </c>
      <c r="D58" s="1" t="s">
        <v>47</v>
      </c>
      <c r="E58" s="1" t="s">
        <v>44</v>
      </c>
      <c r="F58" s="1" t="s">
        <v>45</v>
      </c>
      <c r="G58" s="1">
        <v>78</v>
      </c>
      <c r="H58" s="1">
        <v>8.02</v>
      </c>
      <c r="I58" s="1">
        <v>625.57000000000005</v>
      </c>
      <c r="J58" s="1" t="s">
        <v>30</v>
      </c>
      <c r="K58" s="1" t="s">
        <v>23</v>
      </c>
    </row>
    <row r="59" spans="1:11" x14ac:dyDescent="0.35">
      <c r="A59" s="1">
        <v>2058</v>
      </c>
      <c r="B59" s="1" t="s">
        <v>88</v>
      </c>
      <c r="C59" s="1" t="s">
        <v>27</v>
      </c>
      <c r="D59" s="1" t="s">
        <v>47</v>
      </c>
      <c r="E59" s="1" t="s">
        <v>44</v>
      </c>
      <c r="F59" s="1" t="s">
        <v>45</v>
      </c>
      <c r="G59" s="1">
        <v>8</v>
      </c>
      <c r="H59" s="1">
        <v>8.76</v>
      </c>
      <c r="I59" s="1">
        <v>70.069999999999993</v>
      </c>
      <c r="J59" s="1" t="s">
        <v>30</v>
      </c>
      <c r="K59" s="1" t="s">
        <v>17</v>
      </c>
    </row>
    <row r="60" spans="1:11" x14ac:dyDescent="0.35">
      <c r="A60" s="1">
        <v>2059</v>
      </c>
      <c r="B60" s="1" t="s">
        <v>88</v>
      </c>
      <c r="C60" s="1" t="s">
        <v>27</v>
      </c>
      <c r="D60" s="1" t="s">
        <v>28</v>
      </c>
      <c r="E60" s="1" t="s">
        <v>14</v>
      </c>
      <c r="F60" s="1" t="s">
        <v>29</v>
      </c>
      <c r="G60" s="1">
        <v>24</v>
      </c>
      <c r="H60" s="1">
        <v>19.29</v>
      </c>
      <c r="I60" s="1">
        <v>463.02</v>
      </c>
      <c r="J60" s="1" t="s">
        <v>16</v>
      </c>
      <c r="K60" s="1" t="s">
        <v>25</v>
      </c>
    </row>
    <row r="61" spans="1:11" x14ac:dyDescent="0.35">
      <c r="A61" s="1">
        <v>2060</v>
      </c>
      <c r="B61" s="1" t="s">
        <v>24</v>
      </c>
      <c r="C61" s="1" t="s">
        <v>32</v>
      </c>
      <c r="D61" s="1" t="s">
        <v>36</v>
      </c>
      <c r="E61" s="1" t="s">
        <v>14</v>
      </c>
      <c r="F61" s="1" t="s">
        <v>68</v>
      </c>
      <c r="G61" s="1">
        <v>14</v>
      </c>
      <c r="H61" s="1">
        <v>917.18</v>
      </c>
      <c r="I61" s="1">
        <v>12840.56</v>
      </c>
      <c r="J61" s="1" t="s">
        <v>30</v>
      </c>
      <c r="K61" s="1" t="s">
        <v>25</v>
      </c>
    </row>
    <row r="62" spans="1:11" x14ac:dyDescent="0.35">
      <c r="A62" s="1">
        <v>2061</v>
      </c>
      <c r="B62" s="1" t="s">
        <v>57</v>
      </c>
      <c r="C62" s="1" t="s">
        <v>32</v>
      </c>
      <c r="D62" s="1" t="s">
        <v>36</v>
      </c>
      <c r="E62" s="1" t="s">
        <v>21</v>
      </c>
      <c r="F62" s="1" t="s">
        <v>34</v>
      </c>
      <c r="G62" s="1">
        <v>44</v>
      </c>
      <c r="H62" s="1">
        <v>110.37</v>
      </c>
      <c r="I62" s="1">
        <v>4856.42</v>
      </c>
      <c r="J62" s="1" t="s">
        <v>16</v>
      </c>
      <c r="K62" s="1" t="s">
        <v>23</v>
      </c>
    </row>
    <row r="63" spans="1:11" x14ac:dyDescent="0.35">
      <c r="A63" s="1">
        <v>2062</v>
      </c>
      <c r="B63" s="1" t="s">
        <v>93</v>
      </c>
      <c r="C63" s="1" t="s">
        <v>19</v>
      </c>
      <c r="D63" s="1" t="s">
        <v>28</v>
      </c>
      <c r="E63" s="1" t="s">
        <v>14</v>
      </c>
      <c r="F63" s="1" t="s">
        <v>37</v>
      </c>
      <c r="G63" s="1">
        <v>46</v>
      </c>
      <c r="H63" s="1">
        <v>293.64</v>
      </c>
      <c r="I63" s="1">
        <v>13507.63</v>
      </c>
      <c r="J63" s="1" t="s">
        <v>16</v>
      </c>
      <c r="K63" s="1" t="s">
        <v>31</v>
      </c>
    </row>
    <row r="64" spans="1:11" x14ac:dyDescent="0.35">
      <c r="A64" s="1">
        <v>2063</v>
      </c>
      <c r="B64" s="1" t="s">
        <v>94</v>
      </c>
      <c r="C64" s="1" t="s">
        <v>32</v>
      </c>
      <c r="D64" s="1" t="s">
        <v>13</v>
      </c>
      <c r="E64" s="1" t="s">
        <v>44</v>
      </c>
      <c r="F64" s="1" t="s">
        <v>65</v>
      </c>
      <c r="G64" s="1">
        <v>75</v>
      </c>
      <c r="H64" s="1">
        <v>3.12</v>
      </c>
      <c r="I64" s="1">
        <v>234.36</v>
      </c>
      <c r="J64" s="1" t="s">
        <v>30</v>
      </c>
      <c r="K64" s="1" t="s">
        <v>25</v>
      </c>
    </row>
    <row r="65" spans="1:11" x14ac:dyDescent="0.35">
      <c r="A65" s="1">
        <v>2064</v>
      </c>
      <c r="B65" s="1" t="s">
        <v>94</v>
      </c>
      <c r="C65" s="1" t="s">
        <v>12</v>
      </c>
      <c r="D65" s="1" t="s">
        <v>36</v>
      </c>
      <c r="E65" s="1" t="s">
        <v>44</v>
      </c>
      <c r="F65" s="1" t="s">
        <v>74</v>
      </c>
      <c r="G65" s="1">
        <v>3</v>
      </c>
      <c r="H65" s="1">
        <v>6.08</v>
      </c>
      <c r="I65" s="1">
        <v>18.239999999999998</v>
      </c>
      <c r="J65" s="1" t="s">
        <v>16</v>
      </c>
      <c r="K65" s="1" t="s">
        <v>23</v>
      </c>
    </row>
    <row r="66" spans="1:11" x14ac:dyDescent="0.35">
      <c r="A66" s="1">
        <v>2065</v>
      </c>
      <c r="B66" s="1" t="s">
        <v>95</v>
      </c>
      <c r="C66" s="1" t="s">
        <v>12</v>
      </c>
      <c r="D66" s="1" t="s">
        <v>20</v>
      </c>
      <c r="E66" s="1" t="s">
        <v>14</v>
      </c>
      <c r="F66" s="1" t="s">
        <v>68</v>
      </c>
      <c r="G66" s="1">
        <v>51</v>
      </c>
      <c r="H66" s="1">
        <v>883.18</v>
      </c>
      <c r="I66" s="1">
        <v>45042.09</v>
      </c>
      <c r="J66" s="1" t="s">
        <v>16</v>
      </c>
      <c r="K66" s="1" t="s">
        <v>23</v>
      </c>
    </row>
    <row r="67" spans="1:11" x14ac:dyDescent="0.35">
      <c r="A67" s="1">
        <v>2066</v>
      </c>
      <c r="B67" s="1" t="s">
        <v>94</v>
      </c>
      <c r="C67" s="1" t="s">
        <v>32</v>
      </c>
      <c r="D67" s="1" t="s">
        <v>36</v>
      </c>
      <c r="E67" s="1" t="s">
        <v>44</v>
      </c>
      <c r="F67" s="1" t="s">
        <v>48</v>
      </c>
      <c r="G67" s="1">
        <v>64</v>
      </c>
      <c r="H67" s="1">
        <v>3.79</v>
      </c>
      <c r="I67" s="1">
        <v>242.75</v>
      </c>
      <c r="J67" s="1" t="s">
        <v>30</v>
      </c>
      <c r="K67" s="1" t="s">
        <v>31</v>
      </c>
    </row>
    <row r="68" spans="1:11" x14ac:dyDescent="0.35">
      <c r="A68" s="1">
        <v>2067</v>
      </c>
      <c r="B68" s="1" t="s">
        <v>96</v>
      </c>
      <c r="C68" s="1" t="s">
        <v>32</v>
      </c>
      <c r="D68" s="1" t="s">
        <v>40</v>
      </c>
      <c r="E68" s="1" t="s">
        <v>21</v>
      </c>
      <c r="F68" s="1" t="s">
        <v>42</v>
      </c>
      <c r="G68" s="1">
        <v>70</v>
      </c>
      <c r="H68" s="1">
        <v>266.49</v>
      </c>
      <c r="I68" s="1">
        <v>18654.61</v>
      </c>
      <c r="J68" s="1" t="s">
        <v>30</v>
      </c>
      <c r="K68" s="1" t="s">
        <v>31</v>
      </c>
    </row>
    <row r="69" spans="1:11" x14ac:dyDescent="0.35">
      <c r="A69" s="1">
        <v>2068</v>
      </c>
      <c r="B69" s="1" t="s">
        <v>86</v>
      </c>
      <c r="C69" s="1" t="s">
        <v>12</v>
      </c>
      <c r="D69" s="1" t="s">
        <v>36</v>
      </c>
      <c r="E69" s="1" t="s">
        <v>21</v>
      </c>
      <c r="F69" s="1" t="s">
        <v>34</v>
      </c>
      <c r="G69" s="1">
        <v>61</v>
      </c>
      <c r="H69" s="1">
        <v>115.14</v>
      </c>
      <c r="I69" s="1">
        <v>7023.42</v>
      </c>
      <c r="J69" s="1" t="s">
        <v>30</v>
      </c>
      <c r="K69" s="1" t="s">
        <v>31</v>
      </c>
    </row>
    <row r="70" spans="1:11" x14ac:dyDescent="0.35">
      <c r="A70" s="1">
        <v>2069</v>
      </c>
      <c r="B70" s="1" t="s">
        <v>86</v>
      </c>
      <c r="C70" s="1" t="s">
        <v>27</v>
      </c>
      <c r="D70" s="1" t="s">
        <v>13</v>
      </c>
      <c r="E70" s="1" t="s">
        <v>44</v>
      </c>
      <c r="F70" s="1" t="s">
        <v>74</v>
      </c>
      <c r="G70" s="1">
        <v>49</v>
      </c>
      <c r="H70" s="1">
        <v>5.73</v>
      </c>
      <c r="I70" s="1">
        <v>280.93</v>
      </c>
      <c r="J70" s="1" t="s">
        <v>16</v>
      </c>
      <c r="K70" s="1" t="s">
        <v>17</v>
      </c>
    </row>
    <row r="71" spans="1:11" x14ac:dyDescent="0.35">
      <c r="A71" s="1">
        <v>2070</v>
      </c>
      <c r="B71" s="1" t="s">
        <v>51</v>
      </c>
      <c r="C71" s="1" t="s">
        <v>12</v>
      </c>
      <c r="D71" s="1" t="s">
        <v>58</v>
      </c>
      <c r="E71" s="1" t="s">
        <v>44</v>
      </c>
      <c r="F71" s="1" t="s">
        <v>45</v>
      </c>
      <c r="G71" s="1">
        <v>6</v>
      </c>
      <c r="H71" s="1">
        <v>8.68</v>
      </c>
      <c r="I71" s="1">
        <v>52.08</v>
      </c>
      <c r="J71" s="1" t="s">
        <v>30</v>
      </c>
      <c r="K71" s="1" t="s">
        <v>31</v>
      </c>
    </row>
    <row r="72" spans="1:11" x14ac:dyDescent="0.35">
      <c r="A72" s="1">
        <v>2071</v>
      </c>
      <c r="B72" s="1" t="s">
        <v>97</v>
      </c>
      <c r="C72" s="1" t="s">
        <v>32</v>
      </c>
      <c r="D72" s="1" t="s">
        <v>40</v>
      </c>
      <c r="E72" s="1" t="s">
        <v>14</v>
      </c>
      <c r="F72" s="1" t="s">
        <v>87</v>
      </c>
      <c r="G72" s="1">
        <v>65</v>
      </c>
      <c r="H72" s="1">
        <v>59.14</v>
      </c>
      <c r="I72" s="1">
        <v>3843.89</v>
      </c>
      <c r="J72" s="1" t="s">
        <v>30</v>
      </c>
      <c r="K72" s="1" t="s">
        <v>31</v>
      </c>
    </row>
    <row r="73" spans="1:11" x14ac:dyDescent="0.35">
      <c r="A73" s="1">
        <v>2072</v>
      </c>
      <c r="B73" s="1" t="s">
        <v>69</v>
      </c>
      <c r="C73" s="1" t="s">
        <v>19</v>
      </c>
      <c r="D73" s="1" t="s">
        <v>33</v>
      </c>
      <c r="E73" s="1" t="s">
        <v>21</v>
      </c>
      <c r="F73" s="1" t="s">
        <v>42</v>
      </c>
      <c r="G73" s="1">
        <v>28</v>
      </c>
      <c r="H73" s="1">
        <v>258.91000000000003</v>
      </c>
      <c r="I73" s="1">
        <v>7249.45</v>
      </c>
      <c r="J73" s="1" t="s">
        <v>16</v>
      </c>
      <c r="K73" s="1" t="s">
        <v>31</v>
      </c>
    </row>
    <row r="74" spans="1:11" x14ac:dyDescent="0.35">
      <c r="A74" s="1">
        <v>2073</v>
      </c>
      <c r="B74" s="1" t="s">
        <v>51</v>
      </c>
      <c r="C74" s="1" t="s">
        <v>12</v>
      </c>
      <c r="D74" s="1" t="s">
        <v>13</v>
      </c>
      <c r="E74" s="1" t="s">
        <v>21</v>
      </c>
      <c r="F74" s="1" t="s">
        <v>42</v>
      </c>
      <c r="G74" s="1">
        <v>47</v>
      </c>
      <c r="H74" s="1">
        <v>257.08</v>
      </c>
      <c r="I74" s="1">
        <v>12082.91</v>
      </c>
      <c r="J74" s="1" t="s">
        <v>16</v>
      </c>
      <c r="K74" s="1" t="s">
        <v>17</v>
      </c>
    </row>
    <row r="75" spans="1:11" x14ac:dyDescent="0.35">
      <c r="A75" s="1">
        <v>2074</v>
      </c>
      <c r="B75" s="1" t="s">
        <v>57</v>
      </c>
      <c r="C75" s="1" t="s">
        <v>12</v>
      </c>
      <c r="D75" s="1" t="s">
        <v>28</v>
      </c>
      <c r="E75" s="1" t="s">
        <v>44</v>
      </c>
      <c r="F75" s="1" t="s">
        <v>48</v>
      </c>
      <c r="G75" s="1">
        <v>71</v>
      </c>
      <c r="H75" s="1">
        <v>4.25</v>
      </c>
      <c r="I75" s="1">
        <v>301.41000000000003</v>
      </c>
      <c r="J75" s="1" t="s">
        <v>30</v>
      </c>
      <c r="K75" s="1" t="s">
        <v>17</v>
      </c>
    </row>
    <row r="76" spans="1:11" x14ac:dyDescent="0.35">
      <c r="A76" s="1">
        <v>2075</v>
      </c>
      <c r="B76" s="1" t="s">
        <v>54</v>
      </c>
      <c r="C76" s="1" t="s">
        <v>12</v>
      </c>
      <c r="D76" s="1" t="s">
        <v>33</v>
      </c>
      <c r="E76" s="1" t="s">
        <v>21</v>
      </c>
      <c r="F76" s="1" t="s">
        <v>76</v>
      </c>
      <c r="G76" s="1">
        <v>50</v>
      </c>
      <c r="H76" s="1">
        <v>771.16</v>
      </c>
      <c r="I76" s="1">
        <v>38557.839999999997</v>
      </c>
      <c r="J76" s="1" t="s">
        <v>16</v>
      </c>
      <c r="K76" s="1" t="s">
        <v>25</v>
      </c>
    </row>
    <row r="77" spans="1:11" x14ac:dyDescent="0.35">
      <c r="A77" s="1">
        <v>2076</v>
      </c>
      <c r="B77" s="1" t="s">
        <v>86</v>
      </c>
      <c r="C77" s="1" t="s">
        <v>19</v>
      </c>
      <c r="D77" s="1" t="s">
        <v>13</v>
      </c>
      <c r="E77" s="1" t="s">
        <v>14</v>
      </c>
      <c r="F77" s="1" t="s">
        <v>37</v>
      </c>
      <c r="G77" s="1">
        <v>29</v>
      </c>
      <c r="H77" s="1">
        <v>306.77</v>
      </c>
      <c r="I77" s="1">
        <v>8896.2800000000007</v>
      </c>
      <c r="J77" s="1" t="s">
        <v>30</v>
      </c>
      <c r="K77" s="1" t="s">
        <v>25</v>
      </c>
    </row>
    <row r="78" spans="1:11" x14ac:dyDescent="0.35">
      <c r="A78" s="1">
        <v>2077</v>
      </c>
      <c r="B78" s="1" t="s">
        <v>49</v>
      </c>
      <c r="C78" s="1" t="s">
        <v>27</v>
      </c>
      <c r="D78" s="1" t="s">
        <v>13</v>
      </c>
      <c r="E78" s="1" t="s">
        <v>14</v>
      </c>
      <c r="F78" s="1" t="s">
        <v>37</v>
      </c>
      <c r="G78" s="1">
        <v>65</v>
      </c>
      <c r="H78" s="1">
        <v>312.29000000000002</v>
      </c>
      <c r="I78" s="1">
        <v>20298.849999999999</v>
      </c>
      <c r="J78" s="1" t="s">
        <v>30</v>
      </c>
      <c r="K78" s="1" t="s">
        <v>23</v>
      </c>
    </row>
    <row r="79" spans="1:11" x14ac:dyDescent="0.35">
      <c r="A79" s="1">
        <v>2078</v>
      </c>
      <c r="B79" s="1" t="s">
        <v>60</v>
      </c>
      <c r="C79" s="1" t="s">
        <v>27</v>
      </c>
      <c r="D79" s="1" t="s">
        <v>36</v>
      </c>
      <c r="E79" s="1" t="s">
        <v>21</v>
      </c>
      <c r="F79" s="1" t="s">
        <v>34</v>
      </c>
      <c r="G79" s="1">
        <v>37</v>
      </c>
      <c r="H79" s="1">
        <v>114.84</v>
      </c>
      <c r="I79" s="1">
        <v>4249.08</v>
      </c>
      <c r="J79" s="1" t="s">
        <v>30</v>
      </c>
      <c r="K79" s="1" t="s">
        <v>23</v>
      </c>
    </row>
    <row r="80" spans="1:11" x14ac:dyDescent="0.35">
      <c r="A80" s="1">
        <v>2079</v>
      </c>
      <c r="B80" s="1" t="s">
        <v>98</v>
      </c>
      <c r="C80" s="1" t="s">
        <v>27</v>
      </c>
      <c r="D80" s="1" t="s">
        <v>28</v>
      </c>
      <c r="E80" s="1" t="s">
        <v>21</v>
      </c>
      <c r="F80" s="1" t="s">
        <v>34</v>
      </c>
      <c r="G80" s="1">
        <v>60</v>
      </c>
      <c r="H80" s="1">
        <v>115.66</v>
      </c>
      <c r="I80" s="1">
        <v>6939.47</v>
      </c>
      <c r="J80" s="1" t="s">
        <v>16</v>
      </c>
      <c r="K80" s="1" t="s">
        <v>25</v>
      </c>
    </row>
    <row r="81" spans="1:11" x14ac:dyDescent="0.35">
      <c r="A81" s="1">
        <v>2080</v>
      </c>
      <c r="B81" s="1" t="s">
        <v>55</v>
      </c>
      <c r="C81" s="1" t="s">
        <v>27</v>
      </c>
      <c r="D81" s="1" t="s">
        <v>36</v>
      </c>
      <c r="E81" s="1" t="s">
        <v>14</v>
      </c>
      <c r="F81" s="1" t="s">
        <v>82</v>
      </c>
      <c r="G81" s="1">
        <v>30</v>
      </c>
      <c r="H81" s="1">
        <v>184.11</v>
      </c>
      <c r="I81" s="1">
        <v>5523.31</v>
      </c>
      <c r="J81" s="1" t="s">
        <v>16</v>
      </c>
      <c r="K81" s="1" t="s">
        <v>17</v>
      </c>
    </row>
    <row r="82" spans="1:11" x14ac:dyDescent="0.35">
      <c r="A82" s="1">
        <v>2081</v>
      </c>
      <c r="B82" s="1" t="s">
        <v>77</v>
      </c>
      <c r="C82" s="1" t="s">
        <v>32</v>
      </c>
      <c r="D82" s="1" t="s">
        <v>36</v>
      </c>
      <c r="E82" s="1" t="s">
        <v>21</v>
      </c>
      <c r="F82" s="1" t="s">
        <v>76</v>
      </c>
      <c r="G82" s="1">
        <v>42</v>
      </c>
      <c r="H82" s="1">
        <v>861.27</v>
      </c>
      <c r="I82" s="1">
        <v>36173.440000000002</v>
      </c>
      <c r="J82" s="1" t="s">
        <v>16</v>
      </c>
      <c r="K82" s="1" t="s">
        <v>23</v>
      </c>
    </row>
    <row r="83" spans="1:11" x14ac:dyDescent="0.35">
      <c r="A83" s="1">
        <v>2082</v>
      </c>
      <c r="B83" s="1" t="s">
        <v>99</v>
      </c>
      <c r="C83" s="1" t="s">
        <v>32</v>
      </c>
      <c r="D83" s="1" t="s">
        <v>47</v>
      </c>
      <c r="E83" s="1" t="s">
        <v>14</v>
      </c>
      <c r="F83" s="1" t="s">
        <v>68</v>
      </c>
      <c r="G83" s="1">
        <v>9</v>
      </c>
      <c r="H83" s="1">
        <v>868.56</v>
      </c>
      <c r="I83" s="1">
        <v>7817.07</v>
      </c>
      <c r="J83" s="1" t="s">
        <v>16</v>
      </c>
      <c r="K83" s="1" t="s">
        <v>31</v>
      </c>
    </row>
    <row r="84" spans="1:11" x14ac:dyDescent="0.35">
      <c r="A84" s="1">
        <v>2083</v>
      </c>
      <c r="B84" s="1" t="s">
        <v>100</v>
      </c>
      <c r="C84" s="1" t="s">
        <v>19</v>
      </c>
      <c r="D84" s="1" t="s">
        <v>40</v>
      </c>
      <c r="E84" s="1" t="s">
        <v>21</v>
      </c>
      <c r="F84" s="1" t="s">
        <v>34</v>
      </c>
      <c r="G84" s="1">
        <v>19</v>
      </c>
      <c r="H84" s="1">
        <v>120.19</v>
      </c>
      <c r="I84" s="1">
        <v>2283.56</v>
      </c>
      <c r="J84" s="1" t="s">
        <v>30</v>
      </c>
      <c r="K84" s="1" t="s">
        <v>31</v>
      </c>
    </row>
    <row r="85" spans="1:11" x14ac:dyDescent="0.35">
      <c r="A85" s="1">
        <v>2084</v>
      </c>
      <c r="B85" s="1" t="s">
        <v>63</v>
      </c>
      <c r="C85" s="1" t="s">
        <v>27</v>
      </c>
      <c r="D85" s="1" t="s">
        <v>47</v>
      </c>
      <c r="E85" s="1" t="s">
        <v>44</v>
      </c>
      <c r="F85" s="1" t="s">
        <v>45</v>
      </c>
      <c r="G85" s="1">
        <v>11</v>
      </c>
      <c r="H85" s="1">
        <v>7.86</v>
      </c>
      <c r="I85" s="1">
        <v>86.46</v>
      </c>
      <c r="J85" s="1" t="s">
        <v>16</v>
      </c>
      <c r="K85" s="1" t="s">
        <v>31</v>
      </c>
    </row>
    <row r="86" spans="1:11" x14ac:dyDescent="0.35">
      <c r="A86" s="1">
        <v>2085</v>
      </c>
      <c r="B86" s="1" t="s">
        <v>86</v>
      </c>
      <c r="C86" s="1" t="s">
        <v>12</v>
      </c>
      <c r="D86" s="1" t="s">
        <v>58</v>
      </c>
      <c r="E86" s="1" t="s">
        <v>14</v>
      </c>
      <c r="F86" s="1" t="s">
        <v>29</v>
      </c>
      <c r="G86" s="1">
        <v>12</v>
      </c>
      <c r="H86" s="1">
        <v>20.91</v>
      </c>
      <c r="I86" s="1">
        <v>250.86</v>
      </c>
      <c r="J86" s="1" t="s">
        <v>30</v>
      </c>
      <c r="K86" s="1" t="s">
        <v>23</v>
      </c>
    </row>
    <row r="87" spans="1:11" x14ac:dyDescent="0.35">
      <c r="A87" s="1">
        <v>2086</v>
      </c>
      <c r="B87" s="1" t="s">
        <v>90</v>
      </c>
      <c r="C87" s="1" t="s">
        <v>12</v>
      </c>
      <c r="D87" s="1" t="s">
        <v>20</v>
      </c>
      <c r="E87" s="1" t="s">
        <v>44</v>
      </c>
      <c r="F87" s="1" t="s">
        <v>74</v>
      </c>
      <c r="G87" s="1">
        <v>64</v>
      </c>
      <c r="H87" s="1">
        <v>6.42</v>
      </c>
      <c r="I87" s="1">
        <v>411</v>
      </c>
      <c r="J87" s="1" t="s">
        <v>30</v>
      </c>
      <c r="K87" s="1" t="s">
        <v>23</v>
      </c>
    </row>
    <row r="88" spans="1:11" x14ac:dyDescent="0.35">
      <c r="A88" s="1">
        <v>2087</v>
      </c>
      <c r="B88" s="1" t="s">
        <v>101</v>
      </c>
      <c r="C88" s="1" t="s">
        <v>32</v>
      </c>
      <c r="D88" s="1" t="s">
        <v>58</v>
      </c>
      <c r="E88" s="1" t="s">
        <v>21</v>
      </c>
      <c r="F88" s="1" t="s">
        <v>76</v>
      </c>
      <c r="G88" s="1">
        <v>30</v>
      </c>
      <c r="H88" s="1">
        <v>804.84</v>
      </c>
      <c r="I88" s="1">
        <v>24145.32</v>
      </c>
      <c r="J88" s="1" t="s">
        <v>16</v>
      </c>
      <c r="K88" s="1" t="s">
        <v>31</v>
      </c>
    </row>
    <row r="89" spans="1:11" x14ac:dyDescent="0.35">
      <c r="A89" s="1">
        <v>2088</v>
      </c>
      <c r="B89" s="1" t="s">
        <v>91</v>
      </c>
      <c r="C89" s="1" t="s">
        <v>27</v>
      </c>
      <c r="D89" s="1" t="s">
        <v>13</v>
      </c>
      <c r="E89" s="1" t="s">
        <v>21</v>
      </c>
      <c r="F89" s="1" t="s">
        <v>42</v>
      </c>
      <c r="G89" s="1">
        <v>2</v>
      </c>
      <c r="H89" s="1">
        <v>258.82</v>
      </c>
      <c r="I89" s="1">
        <v>517.65</v>
      </c>
      <c r="J89" s="1" t="s">
        <v>30</v>
      </c>
      <c r="K89" s="1" t="s">
        <v>23</v>
      </c>
    </row>
    <row r="90" spans="1:11" x14ac:dyDescent="0.35">
      <c r="A90" s="1">
        <v>2089</v>
      </c>
      <c r="B90" s="1" t="s">
        <v>102</v>
      </c>
      <c r="C90" s="1" t="s">
        <v>32</v>
      </c>
      <c r="D90" s="1" t="s">
        <v>40</v>
      </c>
      <c r="E90" s="1" t="s">
        <v>14</v>
      </c>
      <c r="F90" s="1" t="s">
        <v>29</v>
      </c>
      <c r="G90" s="1">
        <v>1</v>
      </c>
      <c r="H90" s="1">
        <v>18.27</v>
      </c>
      <c r="I90" s="1">
        <v>18.27</v>
      </c>
      <c r="J90" s="1" t="s">
        <v>16</v>
      </c>
      <c r="K90" s="1" t="s">
        <v>17</v>
      </c>
    </row>
    <row r="91" spans="1:11" x14ac:dyDescent="0.35">
      <c r="A91" s="1">
        <v>2090</v>
      </c>
      <c r="B91" s="1" t="s">
        <v>103</v>
      </c>
      <c r="C91" s="1" t="s">
        <v>27</v>
      </c>
      <c r="D91" s="1" t="s">
        <v>33</v>
      </c>
      <c r="E91" s="1" t="s">
        <v>44</v>
      </c>
      <c r="F91" s="1" t="s">
        <v>74</v>
      </c>
      <c r="G91" s="1">
        <v>29</v>
      </c>
      <c r="H91" s="1">
        <v>6.1</v>
      </c>
      <c r="I91" s="1">
        <v>177.04</v>
      </c>
      <c r="J91" s="1" t="s">
        <v>30</v>
      </c>
      <c r="K91" s="1" t="s">
        <v>25</v>
      </c>
    </row>
    <row r="92" spans="1:11" x14ac:dyDescent="0.35">
      <c r="A92" s="1">
        <v>2091</v>
      </c>
      <c r="B92" s="1" t="s">
        <v>84</v>
      </c>
      <c r="C92" s="1" t="s">
        <v>27</v>
      </c>
      <c r="D92" s="1" t="s">
        <v>20</v>
      </c>
      <c r="E92" s="1" t="s">
        <v>14</v>
      </c>
      <c r="F92" s="1" t="s">
        <v>52</v>
      </c>
      <c r="G92" s="1">
        <v>44</v>
      </c>
      <c r="H92" s="1">
        <v>23.98</v>
      </c>
      <c r="I92" s="1">
        <v>1055.06</v>
      </c>
      <c r="J92" s="1" t="s">
        <v>16</v>
      </c>
      <c r="K92" s="1" t="s">
        <v>17</v>
      </c>
    </row>
    <row r="93" spans="1:11" x14ac:dyDescent="0.35">
      <c r="A93" s="1">
        <v>2092</v>
      </c>
      <c r="B93" s="1" t="s">
        <v>90</v>
      </c>
      <c r="C93" s="1" t="s">
        <v>19</v>
      </c>
      <c r="D93" s="1" t="s">
        <v>20</v>
      </c>
      <c r="E93" s="1" t="s">
        <v>14</v>
      </c>
      <c r="F93" s="1" t="s">
        <v>29</v>
      </c>
      <c r="G93" s="1">
        <v>74</v>
      </c>
      <c r="H93" s="1">
        <v>19.3</v>
      </c>
      <c r="I93" s="1">
        <v>1427.94</v>
      </c>
      <c r="J93" s="1" t="s">
        <v>30</v>
      </c>
      <c r="K93" s="1" t="s">
        <v>17</v>
      </c>
    </row>
    <row r="94" spans="1:11" x14ac:dyDescent="0.35">
      <c r="A94" s="1">
        <v>2093</v>
      </c>
      <c r="B94" s="1" t="s">
        <v>104</v>
      </c>
      <c r="C94" s="1" t="s">
        <v>32</v>
      </c>
      <c r="D94" s="1" t="s">
        <v>33</v>
      </c>
      <c r="E94" s="1" t="s">
        <v>14</v>
      </c>
      <c r="F94" s="1" t="s">
        <v>52</v>
      </c>
      <c r="G94" s="1">
        <v>43</v>
      </c>
      <c r="H94" s="1">
        <v>22.72</v>
      </c>
      <c r="I94" s="1">
        <v>977.16</v>
      </c>
      <c r="J94" s="1" t="s">
        <v>30</v>
      </c>
      <c r="K94" s="1" t="s">
        <v>17</v>
      </c>
    </row>
    <row r="95" spans="1:11" x14ac:dyDescent="0.35">
      <c r="A95" s="1">
        <v>2094</v>
      </c>
      <c r="B95" s="1" t="s">
        <v>105</v>
      </c>
      <c r="C95" s="1" t="s">
        <v>27</v>
      </c>
      <c r="D95" s="1" t="s">
        <v>47</v>
      </c>
      <c r="E95" s="1" t="s">
        <v>21</v>
      </c>
      <c r="F95" s="1" t="s">
        <v>62</v>
      </c>
      <c r="G95" s="1">
        <v>21</v>
      </c>
      <c r="H95" s="1">
        <v>376.4</v>
      </c>
      <c r="I95" s="1">
        <v>7904.46</v>
      </c>
      <c r="J95" s="1" t="s">
        <v>16</v>
      </c>
      <c r="K95" s="1" t="s">
        <v>31</v>
      </c>
    </row>
    <row r="96" spans="1:11" x14ac:dyDescent="0.35">
      <c r="A96" s="1">
        <v>2095</v>
      </c>
      <c r="B96" s="1" t="s">
        <v>106</v>
      </c>
      <c r="C96" s="1" t="s">
        <v>27</v>
      </c>
      <c r="D96" s="1" t="s">
        <v>13</v>
      </c>
      <c r="E96" s="1" t="s">
        <v>44</v>
      </c>
      <c r="F96" s="1" t="s">
        <v>74</v>
      </c>
      <c r="G96" s="1">
        <v>44</v>
      </c>
      <c r="H96" s="1">
        <v>6.08</v>
      </c>
      <c r="I96" s="1">
        <v>267.32</v>
      </c>
      <c r="J96" s="1" t="s">
        <v>16</v>
      </c>
      <c r="K96" s="1" t="s">
        <v>31</v>
      </c>
    </row>
    <row r="97" spans="1:11" x14ac:dyDescent="0.35">
      <c r="A97" s="1">
        <v>2096</v>
      </c>
      <c r="B97" s="1" t="s">
        <v>78</v>
      </c>
      <c r="C97" s="1" t="s">
        <v>27</v>
      </c>
      <c r="D97" s="1" t="s">
        <v>28</v>
      </c>
      <c r="E97" s="1" t="s">
        <v>21</v>
      </c>
      <c r="F97" s="1" t="s">
        <v>76</v>
      </c>
      <c r="G97" s="1">
        <v>72</v>
      </c>
      <c r="H97" s="1">
        <v>877.35</v>
      </c>
      <c r="I97" s="1">
        <v>63169.4</v>
      </c>
      <c r="J97" s="1" t="s">
        <v>16</v>
      </c>
      <c r="K97" s="1" t="s">
        <v>31</v>
      </c>
    </row>
    <row r="98" spans="1:11" x14ac:dyDescent="0.35">
      <c r="A98" s="1">
        <v>2097</v>
      </c>
      <c r="B98" s="1" t="s">
        <v>70</v>
      </c>
      <c r="C98" s="1" t="s">
        <v>27</v>
      </c>
      <c r="D98" s="1" t="s">
        <v>13</v>
      </c>
      <c r="E98" s="1" t="s">
        <v>21</v>
      </c>
      <c r="F98" s="1" t="s">
        <v>42</v>
      </c>
      <c r="G98" s="1">
        <v>37</v>
      </c>
      <c r="H98" s="1">
        <v>227.49</v>
      </c>
      <c r="I98" s="1">
        <v>8417.0400000000009</v>
      </c>
      <c r="J98" s="1" t="s">
        <v>30</v>
      </c>
      <c r="K98" s="1" t="s">
        <v>25</v>
      </c>
    </row>
    <row r="99" spans="1:11" x14ac:dyDescent="0.35">
      <c r="A99" s="1">
        <v>2098</v>
      </c>
      <c r="B99" s="1" t="s">
        <v>98</v>
      </c>
      <c r="C99" s="1" t="s">
        <v>19</v>
      </c>
      <c r="D99" s="1" t="s">
        <v>58</v>
      </c>
      <c r="E99" s="1" t="s">
        <v>21</v>
      </c>
      <c r="F99" s="1" t="s">
        <v>22</v>
      </c>
      <c r="G99" s="1">
        <v>70</v>
      </c>
      <c r="H99" s="1">
        <v>180.41</v>
      </c>
      <c r="I99" s="1">
        <v>12628.41</v>
      </c>
      <c r="J99" s="1" t="s">
        <v>30</v>
      </c>
      <c r="K99" s="1" t="s">
        <v>31</v>
      </c>
    </row>
    <row r="100" spans="1:11" x14ac:dyDescent="0.35">
      <c r="A100" s="1">
        <v>2099</v>
      </c>
      <c r="B100" s="1" t="s">
        <v>53</v>
      </c>
      <c r="C100" s="1" t="s">
        <v>12</v>
      </c>
      <c r="D100" s="1" t="s">
        <v>36</v>
      </c>
      <c r="E100" s="1" t="s">
        <v>14</v>
      </c>
      <c r="F100" s="1" t="s">
        <v>29</v>
      </c>
      <c r="G100" s="1">
        <v>16</v>
      </c>
      <c r="H100" s="1">
        <v>20.84</v>
      </c>
      <c r="I100" s="1">
        <v>333.42</v>
      </c>
      <c r="J100" s="1" t="s">
        <v>30</v>
      </c>
      <c r="K100" s="1" t="s">
        <v>17</v>
      </c>
    </row>
    <row r="101" spans="1:11" x14ac:dyDescent="0.35">
      <c r="A101" s="1">
        <v>2100</v>
      </c>
      <c r="B101" s="1" t="s">
        <v>89</v>
      </c>
      <c r="C101" s="1" t="s">
        <v>32</v>
      </c>
      <c r="D101" s="1" t="s">
        <v>47</v>
      </c>
      <c r="E101" s="1" t="s">
        <v>21</v>
      </c>
      <c r="F101" s="1" t="s">
        <v>62</v>
      </c>
      <c r="G101" s="1">
        <v>30</v>
      </c>
      <c r="H101" s="1">
        <v>344.11</v>
      </c>
      <c r="I101" s="1">
        <v>10323.200000000001</v>
      </c>
      <c r="J101" s="1" t="s">
        <v>30</v>
      </c>
      <c r="K101" s="1" t="s">
        <v>17</v>
      </c>
    </row>
    <row r="102" spans="1:11" x14ac:dyDescent="0.35">
      <c r="A102" s="1">
        <v>2101</v>
      </c>
      <c r="B102" s="1" t="s">
        <v>102</v>
      </c>
      <c r="C102" s="1" t="s">
        <v>27</v>
      </c>
      <c r="D102" s="1" t="s">
        <v>40</v>
      </c>
      <c r="E102" s="1" t="s">
        <v>44</v>
      </c>
      <c r="F102" s="1" t="s">
        <v>74</v>
      </c>
      <c r="G102" s="1">
        <v>23</v>
      </c>
      <c r="H102" s="1">
        <v>6.51</v>
      </c>
      <c r="I102" s="1">
        <v>149.63</v>
      </c>
      <c r="J102" s="1" t="s">
        <v>30</v>
      </c>
      <c r="K102" s="1" t="s">
        <v>17</v>
      </c>
    </row>
    <row r="103" spans="1:11" x14ac:dyDescent="0.35">
      <c r="A103" s="1">
        <v>2102</v>
      </c>
      <c r="B103" s="1" t="s">
        <v>81</v>
      </c>
      <c r="C103" s="1" t="s">
        <v>27</v>
      </c>
      <c r="D103" s="1" t="s">
        <v>28</v>
      </c>
      <c r="E103" s="1" t="s">
        <v>21</v>
      </c>
      <c r="F103" s="1" t="s">
        <v>34</v>
      </c>
      <c r="G103" s="1">
        <v>44</v>
      </c>
      <c r="H103" s="1">
        <v>125.5</v>
      </c>
      <c r="I103" s="1">
        <v>5521.98</v>
      </c>
      <c r="J103" s="1" t="s">
        <v>30</v>
      </c>
      <c r="K103" s="1" t="s">
        <v>31</v>
      </c>
    </row>
    <row r="104" spans="1:11" x14ac:dyDescent="0.35">
      <c r="A104" s="1">
        <v>2103</v>
      </c>
      <c r="B104" s="1" t="s">
        <v>107</v>
      </c>
      <c r="C104" s="1" t="s">
        <v>27</v>
      </c>
      <c r="D104" s="1" t="s">
        <v>58</v>
      </c>
      <c r="E104" s="1" t="s">
        <v>21</v>
      </c>
      <c r="F104" s="1" t="s">
        <v>34</v>
      </c>
      <c r="G104" s="1">
        <v>65</v>
      </c>
      <c r="H104" s="1">
        <v>118.49</v>
      </c>
      <c r="I104" s="1">
        <v>7701.53</v>
      </c>
      <c r="J104" s="1" t="s">
        <v>16</v>
      </c>
      <c r="K104" s="1" t="s">
        <v>17</v>
      </c>
    </row>
    <row r="105" spans="1:11" x14ac:dyDescent="0.35">
      <c r="A105" s="1">
        <v>2104</v>
      </c>
      <c r="B105" s="1" t="s">
        <v>108</v>
      </c>
      <c r="C105" s="1" t="s">
        <v>12</v>
      </c>
      <c r="D105" s="1" t="s">
        <v>40</v>
      </c>
      <c r="E105" s="1" t="s">
        <v>44</v>
      </c>
      <c r="F105" s="1" t="s">
        <v>45</v>
      </c>
      <c r="G105" s="1">
        <v>53</v>
      </c>
      <c r="H105" s="1">
        <v>7.3</v>
      </c>
      <c r="I105" s="1">
        <v>386.92</v>
      </c>
      <c r="J105" s="1" t="s">
        <v>30</v>
      </c>
      <c r="K105" s="1" t="s">
        <v>31</v>
      </c>
    </row>
    <row r="106" spans="1:11" x14ac:dyDescent="0.35">
      <c r="A106" s="1">
        <v>2105</v>
      </c>
      <c r="B106" s="1" t="s">
        <v>99</v>
      </c>
      <c r="C106" s="1" t="s">
        <v>27</v>
      </c>
      <c r="D106" s="1" t="s">
        <v>40</v>
      </c>
      <c r="E106" s="1" t="s">
        <v>14</v>
      </c>
      <c r="F106" s="1" t="s">
        <v>15</v>
      </c>
      <c r="G106" s="1">
        <v>2</v>
      </c>
      <c r="H106" s="1">
        <v>72.819999999999993</v>
      </c>
      <c r="I106" s="1">
        <v>145.63999999999999</v>
      </c>
      <c r="J106" s="1" t="s">
        <v>30</v>
      </c>
      <c r="K106" s="1" t="s">
        <v>25</v>
      </c>
    </row>
    <row r="107" spans="1:11" x14ac:dyDescent="0.35">
      <c r="A107" s="1">
        <v>2106</v>
      </c>
      <c r="B107" s="1" t="s">
        <v>78</v>
      </c>
      <c r="C107" s="1" t="s">
        <v>12</v>
      </c>
      <c r="D107" s="1" t="s">
        <v>58</v>
      </c>
      <c r="E107" s="1" t="s">
        <v>44</v>
      </c>
      <c r="F107" s="1" t="s">
        <v>50</v>
      </c>
      <c r="G107" s="1">
        <v>79</v>
      </c>
      <c r="H107" s="1">
        <v>1.63</v>
      </c>
      <c r="I107" s="1">
        <v>129.04</v>
      </c>
      <c r="J107" s="1" t="s">
        <v>16</v>
      </c>
      <c r="K107" s="1" t="s">
        <v>31</v>
      </c>
    </row>
    <row r="108" spans="1:11" x14ac:dyDescent="0.35">
      <c r="A108" s="1">
        <v>2107</v>
      </c>
      <c r="B108" s="1" t="s">
        <v>109</v>
      </c>
      <c r="C108" s="1" t="s">
        <v>27</v>
      </c>
      <c r="D108" s="1" t="s">
        <v>58</v>
      </c>
      <c r="E108" s="1" t="s">
        <v>21</v>
      </c>
      <c r="F108" s="1" t="s">
        <v>42</v>
      </c>
      <c r="G108" s="1">
        <v>28</v>
      </c>
      <c r="H108" s="1">
        <v>267.05</v>
      </c>
      <c r="I108" s="1">
        <v>7477.41</v>
      </c>
      <c r="J108" s="1" t="s">
        <v>16</v>
      </c>
      <c r="K108" s="1" t="s">
        <v>17</v>
      </c>
    </row>
    <row r="109" spans="1:11" x14ac:dyDescent="0.35">
      <c r="A109" s="1">
        <v>2108</v>
      </c>
      <c r="B109" s="1" t="s">
        <v>92</v>
      </c>
      <c r="C109" s="1" t="s">
        <v>32</v>
      </c>
      <c r="D109" s="1" t="s">
        <v>40</v>
      </c>
      <c r="E109" s="1" t="s">
        <v>14</v>
      </c>
      <c r="F109" s="1" t="s">
        <v>87</v>
      </c>
      <c r="G109" s="1">
        <v>26</v>
      </c>
      <c r="H109" s="1">
        <v>63.22</v>
      </c>
      <c r="I109" s="1">
        <v>1643.82</v>
      </c>
      <c r="J109" s="1" t="s">
        <v>30</v>
      </c>
      <c r="K109" s="1" t="s">
        <v>25</v>
      </c>
    </row>
    <row r="110" spans="1:11" x14ac:dyDescent="0.35">
      <c r="A110" s="1">
        <v>2109</v>
      </c>
      <c r="B110" s="1" t="s">
        <v>110</v>
      </c>
      <c r="C110" s="1" t="s">
        <v>19</v>
      </c>
      <c r="D110" s="1" t="s">
        <v>13</v>
      </c>
      <c r="E110" s="1" t="s">
        <v>14</v>
      </c>
      <c r="F110" s="1" t="s">
        <v>87</v>
      </c>
      <c r="G110" s="1">
        <v>39</v>
      </c>
      <c r="H110" s="1">
        <v>61.1</v>
      </c>
      <c r="I110" s="1">
        <v>2382.92</v>
      </c>
      <c r="J110" s="1" t="s">
        <v>16</v>
      </c>
      <c r="K110" s="1" t="s">
        <v>17</v>
      </c>
    </row>
    <row r="111" spans="1:11" x14ac:dyDescent="0.35">
      <c r="A111" s="1">
        <v>2110</v>
      </c>
      <c r="B111" s="1" t="s">
        <v>85</v>
      </c>
      <c r="C111" s="1" t="s">
        <v>12</v>
      </c>
      <c r="D111" s="1" t="s">
        <v>20</v>
      </c>
      <c r="E111" s="1" t="s">
        <v>14</v>
      </c>
      <c r="F111" s="1" t="s">
        <v>52</v>
      </c>
      <c r="G111" s="1">
        <v>74</v>
      </c>
      <c r="H111" s="1">
        <v>25.48</v>
      </c>
      <c r="I111" s="1">
        <v>1885.57</v>
      </c>
      <c r="J111" s="1" t="s">
        <v>30</v>
      </c>
      <c r="K111" s="1" t="s">
        <v>25</v>
      </c>
    </row>
    <row r="112" spans="1:11" x14ac:dyDescent="0.35">
      <c r="A112" s="1">
        <v>2111</v>
      </c>
      <c r="B112" s="1" t="s">
        <v>93</v>
      </c>
      <c r="C112" s="1" t="s">
        <v>32</v>
      </c>
      <c r="D112" s="1" t="s">
        <v>13</v>
      </c>
      <c r="E112" s="1" t="s">
        <v>21</v>
      </c>
      <c r="F112" s="1" t="s">
        <v>76</v>
      </c>
      <c r="G112" s="1">
        <v>15</v>
      </c>
      <c r="H112" s="1">
        <v>848.98</v>
      </c>
      <c r="I112" s="1">
        <v>12734.75</v>
      </c>
      <c r="J112" s="1" t="s">
        <v>30</v>
      </c>
      <c r="K112" s="1" t="s">
        <v>31</v>
      </c>
    </row>
    <row r="113" spans="1:11" x14ac:dyDescent="0.35">
      <c r="A113" s="1">
        <v>2112</v>
      </c>
      <c r="B113" s="1" t="s">
        <v>107</v>
      </c>
      <c r="C113" s="1" t="s">
        <v>12</v>
      </c>
      <c r="D113" s="1" t="s">
        <v>58</v>
      </c>
      <c r="E113" s="1" t="s">
        <v>21</v>
      </c>
      <c r="F113" s="1" t="s">
        <v>42</v>
      </c>
      <c r="G113" s="1">
        <v>43</v>
      </c>
      <c r="H113" s="1">
        <v>229.83</v>
      </c>
      <c r="I113" s="1">
        <v>9882.5499999999993</v>
      </c>
      <c r="J113" s="1" t="s">
        <v>16</v>
      </c>
      <c r="K113" s="1" t="s">
        <v>17</v>
      </c>
    </row>
    <row r="114" spans="1:11" x14ac:dyDescent="0.35">
      <c r="A114" s="1">
        <v>2113</v>
      </c>
      <c r="B114" s="1" t="s">
        <v>39</v>
      </c>
      <c r="C114" s="1" t="s">
        <v>27</v>
      </c>
      <c r="D114" s="1" t="s">
        <v>13</v>
      </c>
      <c r="E114" s="1" t="s">
        <v>21</v>
      </c>
      <c r="F114" s="1" t="s">
        <v>34</v>
      </c>
      <c r="G114" s="1">
        <v>71</v>
      </c>
      <c r="H114" s="1">
        <v>127.5</v>
      </c>
      <c r="I114" s="1">
        <v>9052.51</v>
      </c>
      <c r="J114" s="1" t="s">
        <v>16</v>
      </c>
      <c r="K114" s="1" t="s">
        <v>23</v>
      </c>
    </row>
    <row r="115" spans="1:11" x14ac:dyDescent="0.35">
      <c r="A115" s="1">
        <v>2114</v>
      </c>
      <c r="B115" s="1" t="s">
        <v>111</v>
      </c>
      <c r="C115" s="1" t="s">
        <v>27</v>
      </c>
      <c r="D115" s="1" t="s">
        <v>40</v>
      </c>
      <c r="E115" s="1" t="s">
        <v>44</v>
      </c>
      <c r="F115" s="1" t="s">
        <v>48</v>
      </c>
      <c r="G115" s="1">
        <v>31</v>
      </c>
      <c r="H115" s="1">
        <v>3.63</v>
      </c>
      <c r="I115" s="1">
        <v>112.66</v>
      </c>
      <c r="J115" s="1" t="s">
        <v>16</v>
      </c>
      <c r="K115" s="1" t="s">
        <v>23</v>
      </c>
    </row>
    <row r="116" spans="1:11" x14ac:dyDescent="0.35">
      <c r="A116" s="1">
        <v>2115</v>
      </c>
      <c r="B116" s="1" t="s">
        <v>112</v>
      </c>
      <c r="C116" s="1" t="s">
        <v>27</v>
      </c>
      <c r="D116" s="1" t="s">
        <v>13</v>
      </c>
      <c r="E116" s="1" t="s">
        <v>44</v>
      </c>
      <c r="F116" s="1" t="s">
        <v>48</v>
      </c>
      <c r="G116" s="1">
        <v>38</v>
      </c>
      <c r="H116" s="1">
        <v>3.82</v>
      </c>
      <c r="I116" s="1">
        <v>145.32</v>
      </c>
      <c r="J116" s="1" t="s">
        <v>30</v>
      </c>
      <c r="K116" s="1" t="s">
        <v>23</v>
      </c>
    </row>
    <row r="117" spans="1:11" x14ac:dyDescent="0.35">
      <c r="A117" s="1">
        <v>2116</v>
      </c>
      <c r="B117" s="1" t="s">
        <v>57</v>
      </c>
      <c r="C117" s="1" t="s">
        <v>12</v>
      </c>
      <c r="D117" s="1" t="s">
        <v>58</v>
      </c>
      <c r="E117" s="1" t="s">
        <v>44</v>
      </c>
      <c r="F117" s="1" t="s">
        <v>65</v>
      </c>
      <c r="G117" s="1">
        <v>67</v>
      </c>
      <c r="H117" s="1">
        <v>3.14</v>
      </c>
      <c r="I117" s="1">
        <v>210.6</v>
      </c>
      <c r="J117" s="1" t="s">
        <v>30</v>
      </c>
      <c r="K117" s="1" t="s">
        <v>23</v>
      </c>
    </row>
    <row r="118" spans="1:11" x14ac:dyDescent="0.35">
      <c r="A118" s="1">
        <v>2117</v>
      </c>
      <c r="B118" s="1" t="s">
        <v>113</v>
      </c>
      <c r="C118" s="1" t="s">
        <v>27</v>
      </c>
      <c r="D118" s="1" t="s">
        <v>20</v>
      </c>
      <c r="E118" s="1" t="s">
        <v>14</v>
      </c>
      <c r="F118" s="1" t="s">
        <v>82</v>
      </c>
      <c r="G118" s="1">
        <v>33</v>
      </c>
      <c r="H118" s="1">
        <v>164.37</v>
      </c>
      <c r="I118" s="1">
        <v>5424.24</v>
      </c>
      <c r="J118" s="1" t="s">
        <v>30</v>
      </c>
      <c r="K118" s="1" t="s">
        <v>25</v>
      </c>
    </row>
    <row r="119" spans="1:11" x14ac:dyDescent="0.35">
      <c r="A119" s="1">
        <v>2118</v>
      </c>
      <c r="B119" s="1" t="s">
        <v>114</v>
      </c>
      <c r="C119" s="1" t="s">
        <v>12</v>
      </c>
      <c r="D119" s="1" t="s">
        <v>33</v>
      </c>
      <c r="E119" s="1" t="s">
        <v>14</v>
      </c>
      <c r="F119" s="1" t="s">
        <v>68</v>
      </c>
      <c r="G119" s="1">
        <v>78</v>
      </c>
      <c r="H119" s="1">
        <v>973.46</v>
      </c>
      <c r="I119" s="1">
        <v>75929.67</v>
      </c>
      <c r="J119" s="1" t="s">
        <v>16</v>
      </c>
      <c r="K119" s="1" t="s">
        <v>25</v>
      </c>
    </row>
    <row r="120" spans="1:11" x14ac:dyDescent="0.35">
      <c r="A120" s="1">
        <v>2119</v>
      </c>
      <c r="B120" s="1" t="s">
        <v>115</v>
      </c>
      <c r="C120" s="1" t="s">
        <v>19</v>
      </c>
      <c r="D120" s="1" t="s">
        <v>28</v>
      </c>
      <c r="E120" s="1" t="s">
        <v>44</v>
      </c>
      <c r="F120" s="1" t="s">
        <v>50</v>
      </c>
      <c r="G120" s="1">
        <v>4</v>
      </c>
      <c r="H120" s="1">
        <v>1.43</v>
      </c>
      <c r="I120" s="1">
        <v>5.72</v>
      </c>
      <c r="J120" s="1" t="s">
        <v>30</v>
      </c>
      <c r="K120" s="1" t="s">
        <v>17</v>
      </c>
    </row>
    <row r="121" spans="1:11" x14ac:dyDescent="0.35">
      <c r="A121" s="1">
        <v>2120</v>
      </c>
      <c r="B121" s="1" t="s">
        <v>35</v>
      </c>
      <c r="C121" s="1" t="s">
        <v>32</v>
      </c>
      <c r="D121" s="1" t="s">
        <v>47</v>
      </c>
      <c r="E121" s="1" t="s">
        <v>14</v>
      </c>
      <c r="F121" s="1" t="s">
        <v>68</v>
      </c>
      <c r="G121" s="1">
        <v>17</v>
      </c>
      <c r="H121" s="1">
        <v>819.18</v>
      </c>
      <c r="I121" s="1">
        <v>13926.03</v>
      </c>
      <c r="J121" s="1" t="s">
        <v>30</v>
      </c>
      <c r="K121" s="1" t="s">
        <v>31</v>
      </c>
    </row>
    <row r="122" spans="1:11" x14ac:dyDescent="0.35">
      <c r="A122" s="1">
        <v>2121</v>
      </c>
      <c r="B122" s="1" t="s">
        <v>105</v>
      </c>
      <c r="C122" s="1" t="s">
        <v>27</v>
      </c>
      <c r="D122" s="1" t="s">
        <v>13</v>
      </c>
      <c r="E122" s="1" t="s">
        <v>44</v>
      </c>
      <c r="F122" s="1" t="s">
        <v>74</v>
      </c>
      <c r="G122" s="1">
        <v>31</v>
      </c>
      <c r="H122" s="1">
        <v>5.94</v>
      </c>
      <c r="I122" s="1">
        <v>184.1</v>
      </c>
      <c r="J122" s="1" t="s">
        <v>30</v>
      </c>
      <c r="K122" s="1" t="s">
        <v>17</v>
      </c>
    </row>
    <row r="123" spans="1:11" x14ac:dyDescent="0.35">
      <c r="A123" s="1">
        <v>2122</v>
      </c>
      <c r="B123" s="1" t="s">
        <v>102</v>
      </c>
      <c r="C123" s="1" t="s">
        <v>19</v>
      </c>
      <c r="D123" s="1" t="s">
        <v>33</v>
      </c>
      <c r="E123" s="1" t="s">
        <v>14</v>
      </c>
      <c r="F123" s="1" t="s">
        <v>52</v>
      </c>
      <c r="G123" s="1">
        <v>62</v>
      </c>
      <c r="H123" s="1">
        <v>23.46</v>
      </c>
      <c r="I123" s="1">
        <v>1454.78</v>
      </c>
      <c r="J123" s="1" t="s">
        <v>16</v>
      </c>
      <c r="K123" s="1" t="s">
        <v>17</v>
      </c>
    </row>
    <row r="124" spans="1:11" x14ac:dyDescent="0.35">
      <c r="A124" s="1">
        <v>2123</v>
      </c>
      <c r="B124" s="1" t="s">
        <v>91</v>
      </c>
      <c r="C124" s="1" t="s">
        <v>19</v>
      </c>
      <c r="D124" s="1" t="s">
        <v>58</v>
      </c>
      <c r="E124" s="1" t="s">
        <v>21</v>
      </c>
      <c r="F124" s="1" t="s">
        <v>22</v>
      </c>
      <c r="G124" s="1">
        <v>14</v>
      </c>
      <c r="H124" s="1">
        <v>193.25</v>
      </c>
      <c r="I124" s="1">
        <v>2705.46</v>
      </c>
      <c r="J124" s="1" t="s">
        <v>16</v>
      </c>
      <c r="K124" s="1" t="s">
        <v>23</v>
      </c>
    </row>
    <row r="125" spans="1:11" x14ac:dyDescent="0.35">
      <c r="A125" s="1">
        <v>2124</v>
      </c>
      <c r="B125" s="1" t="s">
        <v>64</v>
      </c>
      <c r="C125" s="1" t="s">
        <v>12</v>
      </c>
      <c r="D125" s="1" t="s">
        <v>36</v>
      </c>
      <c r="E125" s="1" t="s">
        <v>44</v>
      </c>
      <c r="F125" s="1" t="s">
        <v>74</v>
      </c>
      <c r="G125" s="1">
        <v>42</v>
      </c>
      <c r="H125" s="1">
        <v>5.57</v>
      </c>
      <c r="I125" s="1">
        <v>233.94</v>
      </c>
      <c r="J125" s="1" t="s">
        <v>16</v>
      </c>
      <c r="K125" s="1" t="s">
        <v>23</v>
      </c>
    </row>
    <row r="126" spans="1:11" x14ac:dyDescent="0.35">
      <c r="A126" s="1">
        <v>2125</v>
      </c>
      <c r="B126" s="1" t="s">
        <v>116</v>
      </c>
      <c r="C126" s="1" t="s">
        <v>27</v>
      </c>
      <c r="D126" s="1" t="s">
        <v>33</v>
      </c>
      <c r="E126" s="1" t="s">
        <v>21</v>
      </c>
      <c r="F126" s="1" t="s">
        <v>42</v>
      </c>
      <c r="G126" s="1">
        <v>53</v>
      </c>
      <c r="H126" s="1">
        <v>232.18</v>
      </c>
      <c r="I126" s="1">
        <v>12305.66</v>
      </c>
      <c r="J126" s="1" t="s">
        <v>16</v>
      </c>
      <c r="K126" s="1" t="s">
        <v>17</v>
      </c>
    </row>
    <row r="127" spans="1:11" x14ac:dyDescent="0.35">
      <c r="A127" s="1">
        <v>2126</v>
      </c>
      <c r="B127" s="1" t="s">
        <v>91</v>
      </c>
      <c r="C127" s="1" t="s">
        <v>27</v>
      </c>
      <c r="D127" s="1" t="s">
        <v>33</v>
      </c>
      <c r="E127" s="1" t="s">
        <v>44</v>
      </c>
      <c r="F127" s="1" t="s">
        <v>65</v>
      </c>
      <c r="G127" s="1">
        <v>39</v>
      </c>
      <c r="H127" s="1">
        <v>2.8</v>
      </c>
      <c r="I127" s="1">
        <v>109.11</v>
      </c>
      <c r="J127" s="1" t="s">
        <v>30</v>
      </c>
      <c r="K127" s="1" t="s">
        <v>17</v>
      </c>
    </row>
    <row r="128" spans="1:11" x14ac:dyDescent="0.35">
      <c r="A128" s="1">
        <v>2127</v>
      </c>
      <c r="B128" s="1" t="s">
        <v>96</v>
      </c>
      <c r="C128" s="1" t="s">
        <v>19</v>
      </c>
      <c r="D128" s="1" t="s">
        <v>20</v>
      </c>
      <c r="E128" s="1" t="s">
        <v>14</v>
      </c>
      <c r="F128" s="1" t="s">
        <v>82</v>
      </c>
      <c r="G128" s="1">
        <v>21</v>
      </c>
      <c r="H128" s="1">
        <v>166.89</v>
      </c>
      <c r="I128" s="1">
        <v>3504.72</v>
      </c>
      <c r="J128" s="1" t="s">
        <v>16</v>
      </c>
      <c r="K128" s="1" t="s">
        <v>31</v>
      </c>
    </row>
    <row r="129" spans="1:11" x14ac:dyDescent="0.35">
      <c r="A129" s="1">
        <v>2128</v>
      </c>
      <c r="B129" s="1" t="s">
        <v>117</v>
      </c>
      <c r="C129" s="1" t="s">
        <v>32</v>
      </c>
      <c r="D129" s="1" t="s">
        <v>13</v>
      </c>
      <c r="E129" s="1" t="s">
        <v>44</v>
      </c>
      <c r="F129" s="1" t="s">
        <v>50</v>
      </c>
      <c r="G129" s="1">
        <v>71</v>
      </c>
      <c r="H129" s="1">
        <v>1.52</v>
      </c>
      <c r="I129" s="1">
        <v>107.92</v>
      </c>
      <c r="J129" s="1" t="s">
        <v>30</v>
      </c>
      <c r="K129" s="1" t="s">
        <v>23</v>
      </c>
    </row>
    <row r="130" spans="1:11" x14ac:dyDescent="0.35">
      <c r="A130" s="1">
        <v>2129</v>
      </c>
      <c r="B130" s="1" t="s">
        <v>104</v>
      </c>
      <c r="C130" s="1" t="s">
        <v>12</v>
      </c>
      <c r="D130" s="1" t="s">
        <v>28</v>
      </c>
      <c r="E130" s="1" t="s">
        <v>44</v>
      </c>
      <c r="F130" s="1" t="s">
        <v>50</v>
      </c>
      <c r="G130" s="1">
        <v>51</v>
      </c>
      <c r="H130" s="1">
        <v>1.5</v>
      </c>
      <c r="I130" s="1">
        <v>76.72</v>
      </c>
      <c r="J130" s="1" t="s">
        <v>30</v>
      </c>
      <c r="K130" s="1" t="s">
        <v>17</v>
      </c>
    </row>
    <row r="131" spans="1:11" x14ac:dyDescent="0.35">
      <c r="A131" s="1">
        <v>2130</v>
      </c>
      <c r="B131" s="1" t="s">
        <v>118</v>
      </c>
      <c r="C131" s="1" t="s">
        <v>19</v>
      </c>
      <c r="D131" s="1" t="s">
        <v>58</v>
      </c>
      <c r="E131" s="1" t="s">
        <v>44</v>
      </c>
      <c r="F131" s="1" t="s">
        <v>48</v>
      </c>
      <c r="G131" s="1">
        <v>1</v>
      </c>
      <c r="H131" s="1">
        <v>4.22</v>
      </c>
      <c r="I131" s="1">
        <v>4.22</v>
      </c>
      <c r="J131" s="1" t="s">
        <v>30</v>
      </c>
      <c r="K131" s="1" t="s">
        <v>25</v>
      </c>
    </row>
    <row r="132" spans="1:11" x14ac:dyDescent="0.35">
      <c r="A132" s="1">
        <v>2131</v>
      </c>
      <c r="B132" s="1" t="s">
        <v>119</v>
      </c>
      <c r="C132" s="1" t="s">
        <v>32</v>
      </c>
      <c r="D132" s="1" t="s">
        <v>13</v>
      </c>
      <c r="E132" s="1" t="s">
        <v>14</v>
      </c>
      <c r="F132" s="1" t="s">
        <v>37</v>
      </c>
      <c r="G132" s="1">
        <v>10</v>
      </c>
      <c r="H132" s="1">
        <v>300.22000000000003</v>
      </c>
      <c r="I132" s="1">
        <v>3002.25</v>
      </c>
      <c r="J132" s="1" t="s">
        <v>16</v>
      </c>
      <c r="K132" s="1" t="s">
        <v>17</v>
      </c>
    </row>
    <row r="133" spans="1:11" x14ac:dyDescent="0.35">
      <c r="A133" s="1">
        <v>2132</v>
      </c>
      <c r="B133" s="1" t="s">
        <v>120</v>
      </c>
      <c r="C133" s="1" t="s">
        <v>32</v>
      </c>
      <c r="D133" s="1" t="s">
        <v>28</v>
      </c>
      <c r="E133" s="1" t="s">
        <v>14</v>
      </c>
      <c r="F133" s="1" t="s">
        <v>87</v>
      </c>
      <c r="G133" s="1">
        <v>79</v>
      </c>
      <c r="H133" s="1">
        <v>58.2</v>
      </c>
      <c r="I133" s="1">
        <v>4598.1499999999996</v>
      </c>
      <c r="J133" s="1" t="s">
        <v>16</v>
      </c>
      <c r="K133" s="1" t="s">
        <v>23</v>
      </c>
    </row>
    <row r="134" spans="1:11" x14ac:dyDescent="0.35">
      <c r="A134" s="1">
        <v>2133</v>
      </c>
      <c r="B134" s="1" t="s">
        <v>60</v>
      </c>
      <c r="C134" s="1" t="s">
        <v>27</v>
      </c>
      <c r="D134" s="1" t="s">
        <v>36</v>
      </c>
      <c r="E134" s="1" t="s">
        <v>21</v>
      </c>
      <c r="F134" s="1" t="s">
        <v>42</v>
      </c>
      <c r="G134" s="1">
        <v>39</v>
      </c>
      <c r="H134" s="1">
        <v>231.37</v>
      </c>
      <c r="I134" s="1">
        <v>9023.5</v>
      </c>
      <c r="J134" s="1" t="s">
        <v>16</v>
      </c>
      <c r="K134" s="1" t="s">
        <v>31</v>
      </c>
    </row>
    <row r="135" spans="1:11" x14ac:dyDescent="0.35">
      <c r="A135" s="1">
        <v>2134</v>
      </c>
      <c r="B135" s="1" t="s">
        <v>97</v>
      </c>
      <c r="C135" s="1" t="s">
        <v>12</v>
      </c>
      <c r="D135" s="1" t="s">
        <v>13</v>
      </c>
      <c r="E135" s="1" t="s">
        <v>14</v>
      </c>
      <c r="F135" s="1" t="s">
        <v>68</v>
      </c>
      <c r="G135" s="1">
        <v>22</v>
      </c>
      <c r="H135" s="1">
        <v>941.42</v>
      </c>
      <c r="I135" s="1">
        <v>20711.21</v>
      </c>
      <c r="J135" s="1" t="s">
        <v>16</v>
      </c>
      <c r="K135" s="1" t="s">
        <v>31</v>
      </c>
    </row>
    <row r="136" spans="1:11" x14ac:dyDescent="0.35">
      <c r="A136" s="1">
        <v>2135</v>
      </c>
      <c r="B136" s="1" t="s">
        <v>80</v>
      </c>
      <c r="C136" s="1" t="s">
        <v>19</v>
      </c>
      <c r="D136" s="1" t="s">
        <v>36</v>
      </c>
      <c r="E136" s="1" t="s">
        <v>14</v>
      </c>
      <c r="F136" s="1" t="s">
        <v>15</v>
      </c>
      <c r="G136" s="1">
        <v>6</v>
      </c>
      <c r="H136" s="1">
        <v>74.73</v>
      </c>
      <c r="I136" s="1">
        <v>448.4</v>
      </c>
      <c r="J136" s="1" t="s">
        <v>30</v>
      </c>
      <c r="K136" s="1" t="s">
        <v>31</v>
      </c>
    </row>
    <row r="137" spans="1:11" x14ac:dyDescent="0.35">
      <c r="A137" s="1">
        <v>2136</v>
      </c>
      <c r="B137" s="1" t="s">
        <v>121</v>
      </c>
      <c r="C137" s="1" t="s">
        <v>32</v>
      </c>
      <c r="D137" s="1" t="s">
        <v>13</v>
      </c>
      <c r="E137" s="1" t="s">
        <v>44</v>
      </c>
      <c r="F137" s="1" t="s">
        <v>50</v>
      </c>
      <c r="G137" s="1">
        <v>21</v>
      </c>
      <c r="H137" s="1">
        <v>1.58</v>
      </c>
      <c r="I137" s="1">
        <v>33.159999999999997</v>
      </c>
      <c r="J137" s="1" t="s">
        <v>30</v>
      </c>
      <c r="K137" s="1" t="s">
        <v>23</v>
      </c>
    </row>
    <row r="138" spans="1:11" x14ac:dyDescent="0.35">
      <c r="A138" s="1">
        <v>2137</v>
      </c>
      <c r="B138" s="1" t="s">
        <v>121</v>
      </c>
      <c r="C138" s="1" t="s">
        <v>12</v>
      </c>
      <c r="D138" s="1" t="s">
        <v>40</v>
      </c>
      <c r="E138" s="1" t="s">
        <v>44</v>
      </c>
      <c r="F138" s="1" t="s">
        <v>74</v>
      </c>
      <c r="G138" s="1">
        <v>57</v>
      </c>
      <c r="H138" s="1">
        <v>5.95</v>
      </c>
      <c r="I138" s="1">
        <v>338.91</v>
      </c>
      <c r="J138" s="1" t="s">
        <v>16</v>
      </c>
      <c r="K138" s="1" t="s">
        <v>17</v>
      </c>
    </row>
    <row r="139" spans="1:11" x14ac:dyDescent="0.35">
      <c r="A139" s="1">
        <v>2138</v>
      </c>
      <c r="B139" s="1" t="s">
        <v>92</v>
      </c>
      <c r="C139" s="1" t="s">
        <v>19</v>
      </c>
      <c r="D139" s="1" t="s">
        <v>20</v>
      </c>
      <c r="E139" s="1" t="s">
        <v>14</v>
      </c>
      <c r="F139" s="1" t="s">
        <v>37</v>
      </c>
      <c r="G139" s="1">
        <v>76</v>
      </c>
      <c r="H139" s="1">
        <v>295.58</v>
      </c>
      <c r="I139" s="1">
        <v>22463.9</v>
      </c>
      <c r="J139" s="1" t="s">
        <v>30</v>
      </c>
      <c r="K139" s="1" t="s">
        <v>31</v>
      </c>
    </row>
    <row r="140" spans="1:11" x14ac:dyDescent="0.35">
      <c r="A140" s="1">
        <v>2139</v>
      </c>
      <c r="B140" s="1" t="s">
        <v>71</v>
      </c>
      <c r="C140" s="1" t="s">
        <v>12</v>
      </c>
      <c r="D140" s="1" t="s">
        <v>28</v>
      </c>
      <c r="E140" s="1" t="s">
        <v>44</v>
      </c>
      <c r="F140" s="1" t="s">
        <v>45</v>
      </c>
      <c r="G140" s="1">
        <v>31</v>
      </c>
      <c r="H140" s="1">
        <v>7.47</v>
      </c>
      <c r="I140" s="1">
        <v>231.48</v>
      </c>
      <c r="J140" s="1" t="s">
        <v>30</v>
      </c>
      <c r="K140" s="1" t="s">
        <v>25</v>
      </c>
    </row>
    <row r="141" spans="1:11" x14ac:dyDescent="0.35">
      <c r="A141" s="1">
        <v>2140</v>
      </c>
      <c r="B141" s="1" t="s">
        <v>120</v>
      </c>
      <c r="C141" s="1" t="s">
        <v>27</v>
      </c>
      <c r="D141" s="1" t="s">
        <v>28</v>
      </c>
      <c r="E141" s="1" t="s">
        <v>44</v>
      </c>
      <c r="F141" s="1" t="s">
        <v>50</v>
      </c>
      <c r="G141" s="1">
        <v>76</v>
      </c>
      <c r="H141" s="1">
        <v>1.59</v>
      </c>
      <c r="I141" s="1">
        <v>120.58</v>
      </c>
      <c r="J141" s="1" t="s">
        <v>16</v>
      </c>
      <c r="K141" s="1" t="s">
        <v>31</v>
      </c>
    </row>
    <row r="142" spans="1:11" x14ac:dyDescent="0.35">
      <c r="A142" s="1">
        <v>2141</v>
      </c>
      <c r="B142" s="1" t="s">
        <v>89</v>
      </c>
      <c r="C142" s="1" t="s">
        <v>32</v>
      </c>
      <c r="D142" s="1" t="s">
        <v>40</v>
      </c>
      <c r="E142" s="1" t="s">
        <v>14</v>
      </c>
      <c r="F142" s="1" t="s">
        <v>29</v>
      </c>
      <c r="G142" s="1">
        <v>59</v>
      </c>
      <c r="H142" s="1">
        <v>20.62</v>
      </c>
      <c r="I142" s="1">
        <v>1216.45</v>
      </c>
      <c r="J142" s="1" t="s">
        <v>30</v>
      </c>
      <c r="K142" s="1" t="s">
        <v>31</v>
      </c>
    </row>
    <row r="143" spans="1:11" x14ac:dyDescent="0.35">
      <c r="A143" s="1">
        <v>2142</v>
      </c>
      <c r="B143" s="1" t="s">
        <v>116</v>
      </c>
      <c r="C143" s="1" t="s">
        <v>32</v>
      </c>
      <c r="D143" s="1" t="s">
        <v>58</v>
      </c>
      <c r="E143" s="1" t="s">
        <v>21</v>
      </c>
      <c r="F143" s="1" t="s">
        <v>62</v>
      </c>
      <c r="G143" s="1">
        <v>61</v>
      </c>
      <c r="H143" s="1">
        <v>369.42</v>
      </c>
      <c r="I143" s="1">
        <v>22534.87</v>
      </c>
      <c r="J143" s="1" t="s">
        <v>16</v>
      </c>
      <c r="K143" s="1" t="s">
        <v>25</v>
      </c>
    </row>
    <row r="144" spans="1:11" x14ac:dyDescent="0.35">
      <c r="A144" s="1">
        <v>2143</v>
      </c>
      <c r="B144" s="1" t="s">
        <v>122</v>
      </c>
      <c r="C144" s="1" t="s">
        <v>32</v>
      </c>
      <c r="D144" s="1" t="s">
        <v>40</v>
      </c>
      <c r="E144" s="1" t="s">
        <v>14</v>
      </c>
      <c r="F144" s="1" t="s">
        <v>87</v>
      </c>
      <c r="G144" s="1">
        <v>18</v>
      </c>
      <c r="H144" s="1">
        <v>58.05</v>
      </c>
      <c r="I144" s="1">
        <v>1044.9000000000001</v>
      </c>
      <c r="J144" s="1" t="s">
        <v>30</v>
      </c>
      <c r="K144" s="1" t="s">
        <v>31</v>
      </c>
    </row>
    <row r="145" spans="1:11" x14ac:dyDescent="0.35">
      <c r="A145" s="1">
        <v>2144</v>
      </c>
      <c r="B145" s="1" t="s">
        <v>24</v>
      </c>
      <c r="C145" s="1" t="s">
        <v>19</v>
      </c>
      <c r="D145" s="1" t="s">
        <v>40</v>
      </c>
      <c r="E145" s="1" t="s">
        <v>21</v>
      </c>
      <c r="F145" s="1" t="s">
        <v>42</v>
      </c>
      <c r="G145" s="1">
        <v>61</v>
      </c>
      <c r="H145" s="1">
        <v>262.89</v>
      </c>
      <c r="I145" s="1">
        <v>16036.45</v>
      </c>
      <c r="J145" s="1" t="s">
        <v>16</v>
      </c>
      <c r="K145" s="1" t="s">
        <v>31</v>
      </c>
    </row>
    <row r="146" spans="1:11" x14ac:dyDescent="0.35">
      <c r="A146" s="1">
        <v>2145</v>
      </c>
      <c r="B146" s="1" t="s">
        <v>75</v>
      </c>
      <c r="C146" s="1" t="s">
        <v>27</v>
      </c>
      <c r="D146" s="1" t="s">
        <v>40</v>
      </c>
      <c r="E146" s="1" t="s">
        <v>21</v>
      </c>
      <c r="F146" s="1" t="s">
        <v>22</v>
      </c>
      <c r="G146" s="1">
        <v>80</v>
      </c>
      <c r="H146" s="1">
        <v>217.4</v>
      </c>
      <c r="I146" s="1">
        <v>17391.72</v>
      </c>
      <c r="J146" s="1" t="s">
        <v>16</v>
      </c>
      <c r="K146" s="1" t="s">
        <v>25</v>
      </c>
    </row>
    <row r="147" spans="1:11" x14ac:dyDescent="0.35">
      <c r="A147" s="1">
        <v>2146</v>
      </c>
      <c r="B147" s="1" t="s">
        <v>95</v>
      </c>
      <c r="C147" s="1" t="s">
        <v>27</v>
      </c>
      <c r="D147" s="1" t="s">
        <v>40</v>
      </c>
      <c r="E147" s="1" t="s">
        <v>44</v>
      </c>
      <c r="F147" s="1" t="s">
        <v>65</v>
      </c>
      <c r="G147" s="1">
        <v>11</v>
      </c>
      <c r="H147" s="1">
        <v>2.79</v>
      </c>
      <c r="I147" s="1">
        <v>30.65</v>
      </c>
      <c r="J147" s="1" t="s">
        <v>16</v>
      </c>
      <c r="K147" s="1" t="s">
        <v>23</v>
      </c>
    </row>
    <row r="148" spans="1:11" x14ac:dyDescent="0.35">
      <c r="A148" s="1">
        <v>2147</v>
      </c>
      <c r="B148" s="1" t="s">
        <v>43</v>
      </c>
      <c r="C148" s="1" t="s">
        <v>12</v>
      </c>
      <c r="D148" s="1" t="s">
        <v>36</v>
      </c>
      <c r="E148" s="1" t="s">
        <v>44</v>
      </c>
      <c r="F148" s="1" t="s">
        <v>48</v>
      </c>
      <c r="G148" s="1">
        <v>42</v>
      </c>
      <c r="H148" s="1">
        <v>4.09</v>
      </c>
      <c r="I148" s="1">
        <v>171.66</v>
      </c>
      <c r="J148" s="1" t="s">
        <v>30</v>
      </c>
      <c r="K148" s="1" t="s">
        <v>23</v>
      </c>
    </row>
    <row r="149" spans="1:11" x14ac:dyDescent="0.35">
      <c r="A149" s="1">
        <v>2148</v>
      </c>
      <c r="B149" s="1" t="s">
        <v>106</v>
      </c>
      <c r="C149" s="1" t="s">
        <v>12</v>
      </c>
      <c r="D149" s="1" t="s">
        <v>20</v>
      </c>
      <c r="E149" s="1" t="s">
        <v>44</v>
      </c>
      <c r="F149" s="1" t="s">
        <v>65</v>
      </c>
      <c r="G149" s="1">
        <v>28</v>
      </c>
      <c r="H149" s="1">
        <v>3.07</v>
      </c>
      <c r="I149" s="1">
        <v>85.93</v>
      </c>
      <c r="J149" s="1" t="s">
        <v>16</v>
      </c>
      <c r="K149" s="1" t="s">
        <v>25</v>
      </c>
    </row>
    <row r="150" spans="1:11" x14ac:dyDescent="0.35">
      <c r="A150" s="1">
        <v>2149</v>
      </c>
      <c r="B150" s="1" t="s">
        <v>123</v>
      </c>
      <c r="C150" s="1" t="s">
        <v>27</v>
      </c>
      <c r="D150" s="1" t="s">
        <v>36</v>
      </c>
      <c r="E150" s="1" t="s">
        <v>21</v>
      </c>
      <c r="F150" s="1" t="s">
        <v>42</v>
      </c>
      <c r="G150" s="1">
        <v>4</v>
      </c>
      <c r="H150" s="1">
        <v>237.63</v>
      </c>
      <c r="I150" s="1">
        <v>950.5</v>
      </c>
      <c r="J150" s="1" t="s">
        <v>16</v>
      </c>
      <c r="K150" s="1" t="s">
        <v>17</v>
      </c>
    </row>
    <row r="151" spans="1:11" x14ac:dyDescent="0.35">
      <c r="A151" s="1">
        <v>2150</v>
      </c>
      <c r="B151" s="1" t="s">
        <v>57</v>
      </c>
      <c r="C151" s="1" t="s">
        <v>19</v>
      </c>
      <c r="D151" s="1" t="s">
        <v>58</v>
      </c>
      <c r="E151" s="1" t="s">
        <v>14</v>
      </c>
      <c r="F151" s="1" t="s">
        <v>37</v>
      </c>
      <c r="G151" s="1">
        <v>46</v>
      </c>
      <c r="H151" s="1">
        <v>313.2</v>
      </c>
      <c r="I151" s="1">
        <v>14407.2</v>
      </c>
      <c r="J151" s="1" t="s">
        <v>16</v>
      </c>
      <c r="K151" s="1" t="s">
        <v>25</v>
      </c>
    </row>
    <row r="152" spans="1:11" x14ac:dyDescent="0.35">
      <c r="A152" s="1">
        <v>2151</v>
      </c>
      <c r="B152" s="1" t="s">
        <v>124</v>
      </c>
      <c r="C152" s="1" t="s">
        <v>12</v>
      </c>
      <c r="D152" s="1" t="s">
        <v>58</v>
      </c>
      <c r="E152" s="1" t="s">
        <v>21</v>
      </c>
      <c r="F152" s="1" t="s">
        <v>62</v>
      </c>
      <c r="G152" s="1">
        <v>73</v>
      </c>
      <c r="H152" s="1">
        <v>332.38</v>
      </c>
      <c r="I152" s="1">
        <v>24263.7</v>
      </c>
      <c r="J152" s="1" t="s">
        <v>16</v>
      </c>
      <c r="K152" s="1" t="s">
        <v>25</v>
      </c>
    </row>
    <row r="153" spans="1:11" x14ac:dyDescent="0.35">
      <c r="A153" s="1">
        <v>2152</v>
      </c>
      <c r="B153" s="1" t="s">
        <v>38</v>
      </c>
      <c r="C153" s="1" t="s">
        <v>27</v>
      </c>
      <c r="D153" s="1" t="s">
        <v>47</v>
      </c>
      <c r="E153" s="1" t="s">
        <v>21</v>
      </c>
      <c r="F153" s="1" t="s">
        <v>34</v>
      </c>
      <c r="G153" s="1">
        <v>16</v>
      </c>
      <c r="H153" s="1">
        <v>127.61</v>
      </c>
      <c r="I153" s="1">
        <v>2041.78</v>
      </c>
      <c r="J153" s="1" t="s">
        <v>30</v>
      </c>
      <c r="K153" s="1" t="s">
        <v>23</v>
      </c>
    </row>
    <row r="154" spans="1:11" x14ac:dyDescent="0.35">
      <c r="A154" s="1">
        <v>2153</v>
      </c>
      <c r="B154" s="1" t="s">
        <v>125</v>
      </c>
      <c r="C154" s="1" t="s">
        <v>19</v>
      </c>
      <c r="D154" s="1" t="s">
        <v>58</v>
      </c>
      <c r="E154" s="1" t="s">
        <v>44</v>
      </c>
      <c r="F154" s="1" t="s">
        <v>48</v>
      </c>
      <c r="G154" s="1">
        <v>49</v>
      </c>
      <c r="H154" s="1">
        <v>4.16</v>
      </c>
      <c r="I154" s="1">
        <v>203.81</v>
      </c>
      <c r="J154" s="1" t="s">
        <v>16</v>
      </c>
      <c r="K154" s="1" t="s">
        <v>31</v>
      </c>
    </row>
    <row r="155" spans="1:11" x14ac:dyDescent="0.35">
      <c r="A155" s="1">
        <v>2154</v>
      </c>
      <c r="B155" s="1" t="s">
        <v>102</v>
      </c>
      <c r="C155" s="1" t="s">
        <v>32</v>
      </c>
      <c r="D155" s="1" t="s">
        <v>20</v>
      </c>
      <c r="E155" s="1" t="s">
        <v>14</v>
      </c>
      <c r="F155" s="1" t="s">
        <v>52</v>
      </c>
      <c r="G155" s="1">
        <v>59</v>
      </c>
      <c r="H155" s="1">
        <v>27.2</v>
      </c>
      <c r="I155" s="1">
        <v>1605.07</v>
      </c>
      <c r="J155" s="1" t="s">
        <v>30</v>
      </c>
      <c r="K155" s="1" t="s">
        <v>31</v>
      </c>
    </row>
    <row r="156" spans="1:11" x14ac:dyDescent="0.35">
      <c r="A156" s="1">
        <v>2155</v>
      </c>
      <c r="B156" s="1" t="s">
        <v>64</v>
      </c>
      <c r="C156" s="1" t="s">
        <v>27</v>
      </c>
      <c r="D156" s="1" t="s">
        <v>13</v>
      </c>
      <c r="E156" s="1" t="s">
        <v>44</v>
      </c>
      <c r="F156" s="1" t="s">
        <v>48</v>
      </c>
      <c r="G156" s="1">
        <v>31</v>
      </c>
      <c r="H156" s="1">
        <v>3.74</v>
      </c>
      <c r="I156" s="1">
        <v>115.79</v>
      </c>
      <c r="J156" s="1" t="s">
        <v>16</v>
      </c>
      <c r="K156" s="1" t="s">
        <v>23</v>
      </c>
    </row>
    <row r="157" spans="1:11" x14ac:dyDescent="0.35">
      <c r="A157" s="1">
        <v>2156</v>
      </c>
      <c r="B157" s="1" t="s">
        <v>117</v>
      </c>
      <c r="C157" s="1" t="s">
        <v>19</v>
      </c>
      <c r="D157" s="1" t="s">
        <v>40</v>
      </c>
      <c r="E157" s="1" t="s">
        <v>21</v>
      </c>
      <c r="F157" s="1" t="s">
        <v>76</v>
      </c>
      <c r="G157" s="1">
        <v>31</v>
      </c>
      <c r="H157" s="1">
        <v>761.44</v>
      </c>
      <c r="I157" s="1">
        <v>23604.51</v>
      </c>
      <c r="J157" s="1" t="s">
        <v>16</v>
      </c>
      <c r="K157" s="1" t="s">
        <v>17</v>
      </c>
    </row>
    <row r="158" spans="1:11" x14ac:dyDescent="0.35">
      <c r="A158" s="1">
        <v>2157</v>
      </c>
      <c r="B158" s="1" t="s">
        <v>124</v>
      </c>
      <c r="C158" s="1" t="s">
        <v>12</v>
      </c>
      <c r="D158" s="1" t="s">
        <v>58</v>
      </c>
      <c r="E158" s="1" t="s">
        <v>44</v>
      </c>
      <c r="F158" s="1" t="s">
        <v>74</v>
      </c>
      <c r="G158" s="1">
        <v>22</v>
      </c>
      <c r="H158" s="1">
        <v>6.08</v>
      </c>
      <c r="I158" s="1">
        <v>133.66999999999999</v>
      </c>
      <c r="J158" s="1" t="s">
        <v>30</v>
      </c>
      <c r="K158" s="1" t="s">
        <v>17</v>
      </c>
    </row>
    <row r="159" spans="1:11" x14ac:dyDescent="0.35">
      <c r="A159" s="1">
        <v>2158</v>
      </c>
      <c r="B159" s="1" t="s">
        <v>107</v>
      </c>
      <c r="C159" s="1" t="s">
        <v>19</v>
      </c>
      <c r="D159" s="1" t="s">
        <v>28</v>
      </c>
      <c r="E159" s="1" t="s">
        <v>44</v>
      </c>
      <c r="F159" s="1" t="s">
        <v>45</v>
      </c>
      <c r="G159" s="1">
        <v>13</v>
      </c>
      <c r="H159" s="1">
        <v>8.15</v>
      </c>
      <c r="I159" s="1">
        <v>105.9</v>
      </c>
      <c r="J159" s="1" t="s">
        <v>16</v>
      </c>
      <c r="K159" s="1" t="s">
        <v>23</v>
      </c>
    </row>
    <row r="160" spans="1:11" x14ac:dyDescent="0.35">
      <c r="A160" s="1">
        <v>2159</v>
      </c>
      <c r="B160" s="1" t="s">
        <v>78</v>
      </c>
      <c r="C160" s="1" t="s">
        <v>12</v>
      </c>
      <c r="D160" s="1" t="s">
        <v>13</v>
      </c>
      <c r="E160" s="1" t="s">
        <v>44</v>
      </c>
      <c r="F160" s="1" t="s">
        <v>74</v>
      </c>
      <c r="G160" s="1">
        <v>46</v>
      </c>
      <c r="H160" s="1">
        <v>6.51</v>
      </c>
      <c r="I160" s="1">
        <v>299.27999999999997</v>
      </c>
      <c r="J160" s="1" t="s">
        <v>30</v>
      </c>
      <c r="K160" s="1" t="s">
        <v>31</v>
      </c>
    </row>
    <row r="161" spans="1:11" x14ac:dyDescent="0.35">
      <c r="A161" s="1">
        <v>2160</v>
      </c>
      <c r="B161" s="1" t="s">
        <v>60</v>
      </c>
      <c r="C161" s="1" t="s">
        <v>32</v>
      </c>
      <c r="D161" s="1" t="s">
        <v>40</v>
      </c>
      <c r="E161" s="1" t="s">
        <v>14</v>
      </c>
      <c r="F161" s="1" t="s">
        <v>52</v>
      </c>
      <c r="G161" s="1">
        <v>48</v>
      </c>
      <c r="H161" s="1">
        <v>24.4</v>
      </c>
      <c r="I161" s="1">
        <v>1171.1099999999999</v>
      </c>
      <c r="J161" s="1" t="s">
        <v>30</v>
      </c>
      <c r="K161" s="1" t="s">
        <v>31</v>
      </c>
    </row>
    <row r="162" spans="1:11" x14ac:dyDescent="0.35">
      <c r="A162" s="1">
        <v>2161</v>
      </c>
      <c r="B162" s="1" t="s">
        <v>126</v>
      </c>
      <c r="C162" s="1" t="s">
        <v>12</v>
      </c>
      <c r="D162" s="1" t="s">
        <v>13</v>
      </c>
      <c r="E162" s="1" t="s">
        <v>44</v>
      </c>
      <c r="F162" s="1" t="s">
        <v>65</v>
      </c>
      <c r="G162" s="1">
        <v>50</v>
      </c>
      <c r="H162" s="1">
        <v>3.18</v>
      </c>
      <c r="I162" s="1">
        <v>159.21</v>
      </c>
      <c r="J162" s="1" t="s">
        <v>16</v>
      </c>
      <c r="K162" s="1" t="s">
        <v>23</v>
      </c>
    </row>
    <row r="163" spans="1:11" x14ac:dyDescent="0.35">
      <c r="A163" s="1">
        <v>2162</v>
      </c>
      <c r="B163" s="1" t="s">
        <v>71</v>
      </c>
      <c r="C163" s="1" t="s">
        <v>19</v>
      </c>
      <c r="D163" s="1" t="s">
        <v>28</v>
      </c>
      <c r="E163" s="1" t="s">
        <v>44</v>
      </c>
      <c r="F163" s="1" t="s">
        <v>74</v>
      </c>
      <c r="G163" s="1">
        <v>46</v>
      </c>
      <c r="H163" s="1">
        <v>6.19</v>
      </c>
      <c r="I163" s="1">
        <v>284.91000000000003</v>
      </c>
      <c r="J163" s="1" t="s">
        <v>16</v>
      </c>
      <c r="K163" s="1" t="s">
        <v>17</v>
      </c>
    </row>
    <row r="164" spans="1:11" x14ac:dyDescent="0.35">
      <c r="A164" s="1">
        <v>2163</v>
      </c>
      <c r="B164" s="1" t="s">
        <v>127</v>
      </c>
      <c r="C164" s="1" t="s">
        <v>32</v>
      </c>
      <c r="D164" s="1" t="s">
        <v>20</v>
      </c>
      <c r="E164" s="1" t="s">
        <v>44</v>
      </c>
      <c r="F164" s="1" t="s">
        <v>74</v>
      </c>
      <c r="G164" s="1">
        <v>71</v>
      </c>
      <c r="H164" s="1">
        <v>5.77</v>
      </c>
      <c r="I164" s="1">
        <v>410.01</v>
      </c>
      <c r="J164" s="1" t="s">
        <v>30</v>
      </c>
      <c r="K164" s="1" t="s">
        <v>23</v>
      </c>
    </row>
    <row r="165" spans="1:11" x14ac:dyDescent="0.35">
      <c r="A165" s="1">
        <v>2164</v>
      </c>
      <c r="B165" s="1" t="s">
        <v>18</v>
      </c>
      <c r="C165" s="1" t="s">
        <v>27</v>
      </c>
      <c r="D165" s="1" t="s">
        <v>33</v>
      </c>
      <c r="E165" s="1" t="s">
        <v>21</v>
      </c>
      <c r="F165" s="1" t="s">
        <v>34</v>
      </c>
      <c r="G165" s="1">
        <v>21</v>
      </c>
      <c r="H165" s="1">
        <v>116.49</v>
      </c>
      <c r="I165" s="1">
        <v>2446.35</v>
      </c>
      <c r="J165" s="1" t="s">
        <v>30</v>
      </c>
      <c r="K165" s="1" t="s">
        <v>17</v>
      </c>
    </row>
    <row r="166" spans="1:11" x14ac:dyDescent="0.35">
      <c r="A166" s="1">
        <v>2165</v>
      </c>
      <c r="B166" s="1" t="s">
        <v>121</v>
      </c>
      <c r="C166" s="1" t="s">
        <v>32</v>
      </c>
      <c r="D166" s="1" t="s">
        <v>33</v>
      </c>
      <c r="E166" s="1" t="s">
        <v>21</v>
      </c>
      <c r="F166" s="1" t="s">
        <v>62</v>
      </c>
      <c r="G166" s="1">
        <v>5</v>
      </c>
      <c r="H166" s="1">
        <v>329.35</v>
      </c>
      <c r="I166" s="1">
        <v>1646.77</v>
      </c>
      <c r="J166" s="1" t="s">
        <v>16</v>
      </c>
      <c r="K166" s="1" t="s">
        <v>17</v>
      </c>
    </row>
    <row r="167" spans="1:11" x14ac:dyDescent="0.35">
      <c r="A167" s="1">
        <v>2166</v>
      </c>
      <c r="B167" s="1" t="s">
        <v>49</v>
      </c>
      <c r="C167" s="1" t="s">
        <v>32</v>
      </c>
      <c r="D167" s="1" t="s">
        <v>33</v>
      </c>
      <c r="E167" s="1" t="s">
        <v>14</v>
      </c>
      <c r="F167" s="1" t="s">
        <v>37</v>
      </c>
      <c r="G167" s="1">
        <v>47</v>
      </c>
      <c r="H167" s="1">
        <v>270.70999999999998</v>
      </c>
      <c r="I167" s="1">
        <v>12723.37</v>
      </c>
      <c r="J167" s="1" t="s">
        <v>16</v>
      </c>
      <c r="K167" s="1" t="s">
        <v>25</v>
      </c>
    </row>
    <row r="168" spans="1:11" x14ac:dyDescent="0.35">
      <c r="A168" s="1">
        <v>2167</v>
      </c>
      <c r="B168" s="1" t="s">
        <v>85</v>
      </c>
      <c r="C168" s="1" t="s">
        <v>12</v>
      </c>
      <c r="D168" s="1" t="s">
        <v>40</v>
      </c>
      <c r="E168" s="1" t="s">
        <v>44</v>
      </c>
      <c r="F168" s="1" t="s">
        <v>74</v>
      </c>
      <c r="G168" s="1">
        <v>50</v>
      </c>
      <c r="H168" s="1">
        <v>6.43</v>
      </c>
      <c r="I168" s="1">
        <v>321.41000000000003</v>
      </c>
      <c r="J168" s="1" t="s">
        <v>16</v>
      </c>
      <c r="K168" s="1" t="s">
        <v>17</v>
      </c>
    </row>
    <row r="169" spans="1:11" x14ac:dyDescent="0.35">
      <c r="A169" s="1">
        <v>2168</v>
      </c>
      <c r="B169" s="1" t="s">
        <v>93</v>
      </c>
      <c r="C169" s="1" t="s">
        <v>32</v>
      </c>
      <c r="D169" s="1" t="s">
        <v>47</v>
      </c>
      <c r="E169" s="1" t="s">
        <v>14</v>
      </c>
      <c r="F169" s="1" t="s">
        <v>37</v>
      </c>
      <c r="G169" s="1">
        <v>77</v>
      </c>
      <c r="H169" s="1">
        <v>292.62</v>
      </c>
      <c r="I169" s="1">
        <v>22531.61</v>
      </c>
      <c r="J169" s="1" t="s">
        <v>30</v>
      </c>
      <c r="K169" s="1" t="s">
        <v>31</v>
      </c>
    </row>
    <row r="170" spans="1:11" x14ac:dyDescent="0.35">
      <c r="A170" s="1">
        <v>2169</v>
      </c>
      <c r="B170" s="1" t="s">
        <v>73</v>
      </c>
      <c r="C170" s="1" t="s">
        <v>12</v>
      </c>
      <c r="D170" s="1" t="s">
        <v>28</v>
      </c>
      <c r="E170" s="1" t="s">
        <v>21</v>
      </c>
      <c r="F170" s="1" t="s">
        <v>34</v>
      </c>
      <c r="G170" s="1">
        <v>53</v>
      </c>
      <c r="H170" s="1">
        <v>123.84</v>
      </c>
      <c r="I170" s="1">
        <v>6563.26</v>
      </c>
      <c r="J170" s="1" t="s">
        <v>16</v>
      </c>
      <c r="K170" s="1" t="s">
        <v>23</v>
      </c>
    </row>
    <row r="171" spans="1:11" x14ac:dyDescent="0.35">
      <c r="A171" s="1">
        <v>2170</v>
      </c>
      <c r="B171" s="1" t="s">
        <v>11</v>
      </c>
      <c r="C171" s="1" t="s">
        <v>19</v>
      </c>
      <c r="D171" s="1" t="s">
        <v>33</v>
      </c>
      <c r="E171" s="1" t="s">
        <v>44</v>
      </c>
      <c r="F171" s="1" t="s">
        <v>50</v>
      </c>
      <c r="G171" s="1">
        <v>14</v>
      </c>
      <c r="H171" s="1">
        <v>1.55</v>
      </c>
      <c r="I171" s="1">
        <v>21.71</v>
      </c>
      <c r="J171" s="1" t="s">
        <v>30</v>
      </c>
      <c r="K171" s="1" t="s">
        <v>23</v>
      </c>
    </row>
    <row r="172" spans="1:11" x14ac:dyDescent="0.35">
      <c r="A172" s="1">
        <v>2171</v>
      </c>
      <c r="B172" s="1" t="s">
        <v>77</v>
      </c>
      <c r="C172" s="1" t="s">
        <v>19</v>
      </c>
      <c r="D172" s="1" t="s">
        <v>47</v>
      </c>
      <c r="E172" s="1" t="s">
        <v>21</v>
      </c>
      <c r="F172" s="1" t="s">
        <v>42</v>
      </c>
      <c r="G172" s="1">
        <v>52</v>
      </c>
      <c r="H172" s="1">
        <v>257.10000000000002</v>
      </c>
      <c r="I172" s="1">
        <v>13369.44</v>
      </c>
      <c r="J172" s="1" t="s">
        <v>16</v>
      </c>
      <c r="K172" s="1" t="s">
        <v>31</v>
      </c>
    </row>
    <row r="173" spans="1:11" x14ac:dyDescent="0.35">
      <c r="A173" s="1">
        <v>2172</v>
      </c>
      <c r="B173" s="1" t="s">
        <v>64</v>
      </c>
      <c r="C173" s="1" t="s">
        <v>32</v>
      </c>
      <c r="D173" s="1" t="s">
        <v>40</v>
      </c>
      <c r="E173" s="1" t="s">
        <v>14</v>
      </c>
      <c r="F173" s="1" t="s">
        <v>15</v>
      </c>
      <c r="G173" s="1">
        <v>61</v>
      </c>
      <c r="H173" s="1">
        <v>67.8</v>
      </c>
      <c r="I173" s="1">
        <v>4135.82</v>
      </c>
      <c r="J173" s="1" t="s">
        <v>16</v>
      </c>
      <c r="K173" s="1" t="s">
        <v>23</v>
      </c>
    </row>
    <row r="174" spans="1:11" x14ac:dyDescent="0.35">
      <c r="A174" s="1">
        <v>2173</v>
      </c>
      <c r="B174" s="1" t="s">
        <v>128</v>
      </c>
      <c r="C174" s="1" t="s">
        <v>27</v>
      </c>
      <c r="D174" s="1" t="s">
        <v>58</v>
      </c>
      <c r="E174" s="1" t="s">
        <v>21</v>
      </c>
      <c r="F174" s="1" t="s">
        <v>62</v>
      </c>
      <c r="G174" s="1">
        <v>1</v>
      </c>
      <c r="H174" s="1">
        <v>367.9</v>
      </c>
      <c r="I174" s="1">
        <v>367.9</v>
      </c>
      <c r="J174" s="1" t="s">
        <v>16</v>
      </c>
      <c r="K174" s="1" t="s">
        <v>25</v>
      </c>
    </row>
    <row r="175" spans="1:11" x14ac:dyDescent="0.35">
      <c r="A175" s="1">
        <v>2174</v>
      </c>
      <c r="B175" s="1" t="s">
        <v>84</v>
      </c>
      <c r="C175" s="1" t="s">
        <v>19</v>
      </c>
      <c r="D175" s="1" t="s">
        <v>20</v>
      </c>
      <c r="E175" s="1" t="s">
        <v>21</v>
      </c>
      <c r="F175" s="1" t="s">
        <v>42</v>
      </c>
      <c r="G175" s="1">
        <v>3</v>
      </c>
      <c r="H175" s="1">
        <v>257.61</v>
      </c>
      <c r="I175" s="1">
        <v>772.84</v>
      </c>
      <c r="J175" s="1" t="s">
        <v>16</v>
      </c>
      <c r="K175" s="1" t="s">
        <v>31</v>
      </c>
    </row>
    <row r="176" spans="1:11" x14ac:dyDescent="0.35">
      <c r="A176" s="1">
        <v>2175</v>
      </c>
      <c r="B176" s="1" t="s">
        <v>18</v>
      </c>
      <c r="C176" s="1" t="s">
        <v>19</v>
      </c>
      <c r="D176" s="1" t="s">
        <v>36</v>
      </c>
      <c r="E176" s="1" t="s">
        <v>21</v>
      </c>
      <c r="F176" s="1" t="s">
        <v>42</v>
      </c>
      <c r="G176" s="1">
        <v>70</v>
      </c>
      <c r="H176" s="1">
        <v>237.11</v>
      </c>
      <c r="I176" s="1">
        <v>16598.04</v>
      </c>
      <c r="J176" s="1" t="s">
        <v>16</v>
      </c>
      <c r="K176" s="1" t="s">
        <v>23</v>
      </c>
    </row>
    <row r="177" spans="1:11" x14ac:dyDescent="0.35">
      <c r="A177" s="1">
        <v>2176</v>
      </c>
      <c r="B177" s="1" t="s">
        <v>24</v>
      </c>
      <c r="C177" s="1" t="s">
        <v>12</v>
      </c>
      <c r="D177" s="1" t="s">
        <v>33</v>
      </c>
      <c r="E177" s="1" t="s">
        <v>14</v>
      </c>
      <c r="F177" s="1" t="s">
        <v>29</v>
      </c>
      <c r="G177" s="1">
        <v>13</v>
      </c>
      <c r="H177" s="1">
        <v>21.4</v>
      </c>
      <c r="I177" s="1">
        <v>278.24</v>
      </c>
      <c r="J177" s="1" t="s">
        <v>16</v>
      </c>
      <c r="K177" s="1" t="s">
        <v>25</v>
      </c>
    </row>
    <row r="178" spans="1:11" x14ac:dyDescent="0.35">
      <c r="A178" s="1">
        <v>2177</v>
      </c>
      <c r="B178" s="1" t="s">
        <v>77</v>
      </c>
      <c r="C178" s="1" t="s">
        <v>12</v>
      </c>
      <c r="D178" s="1" t="s">
        <v>20</v>
      </c>
      <c r="E178" s="1" t="s">
        <v>44</v>
      </c>
      <c r="F178" s="1" t="s">
        <v>65</v>
      </c>
      <c r="G178" s="1">
        <v>32</v>
      </c>
      <c r="H178" s="1">
        <v>3.13</v>
      </c>
      <c r="I178" s="1">
        <v>100.03</v>
      </c>
      <c r="J178" s="1" t="s">
        <v>30</v>
      </c>
      <c r="K178" s="1" t="s">
        <v>23</v>
      </c>
    </row>
    <row r="179" spans="1:11" x14ac:dyDescent="0.35">
      <c r="A179" s="1">
        <v>2178</v>
      </c>
      <c r="B179" s="1" t="s">
        <v>129</v>
      </c>
      <c r="C179" s="1" t="s">
        <v>12</v>
      </c>
      <c r="D179" s="1" t="s">
        <v>58</v>
      </c>
      <c r="E179" s="1" t="s">
        <v>14</v>
      </c>
      <c r="F179" s="1" t="s">
        <v>82</v>
      </c>
      <c r="G179" s="1">
        <v>74</v>
      </c>
      <c r="H179" s="1">
        <v>186.54</v>
      </c>
      <c r="I179" s="1">
        <v>13804.27</v>
      </c>
      <c r="J179" s="1" t="s">
        <v>30</v>
      </c>
      <c r="K179" s="1" t="s">
        <v>31</v>
      </c>
    </row>
    <row r="180" spans="1:11" x14ac:dyDescent="0.35">
      <c r="A180" s="1">
        <v>2179</v>
      </c>
      <c r="B180" s="1" t="s">
        <v>114</v>
      </c>
      <c r="C180" s="1" t="s">
        <v>12</v>
      </c>
      <c r="D180" s="1" t="s">
        <v>47</v>
      </c>
      <c r="E180" s="1" t="s">
        <v>44</v>
      </c>
      <c r="F180" s="1" t="s">
        <v>65</v>
      </c>
      <c r="G180" s="1">
        <v>73</v>
      </c>
      <c r="H180" s="1">
        <v>2.71</v>
      </c>
      <c r="I180" s="1">
        <v>197.81</v>
      </c>
      <c r="J180" s="1" t="s">
        <v>30</v>
      </c>
      <c r="K180" s="1" t="s">
        <v>23</v>
      </c>
    </row>
    <row r="181" spans="1:11" x14ac:dyDescent="0.35">
      <c r="A181" s="1">
        <v>2180</v>
      </c>
      <c r="B181" s="1" t="s">
        <v>66</v>
      </c>
      <c r="C181" s="1" t="s">
        <v>32</v>
      </c>
      <c r="D181" s="1" t="s">
        <v>47</v>
      </c>
      <c r="E181" s="1" t="s">
        <v>44</v>
      </c>
      <c r="F181" s="1" t="s">
        <v>65</v>
      </c>
      <c r="G181" s="1">
        <v>60</v>
      </c>
      <c r="H181" s="1">
        <v>2.82</v>
      </c>
      <c r="I181" s="1">
        <v>169.02</v>
      </c>
      <c r="J181" s="1" t="s">
        <v>16</v>
      </c>
      <c r="K181" s="1" t="s">
        <v>17</v>
      </c>
    </row>
    <row r="182" spans="1:11" x14ac:dyDescent="0.35">
      <c r="A182" s="1">
        <v>2181</v>
      </c>
      <c r="B182" s="1" t="s">
        <v>130</v>
      </c>
      <c r="C182" s="1" t="s">
        <v>19</v>
      </c>
      <c r="D182" s="1" t="s">
        <v>47</v>
      </c>
      <c r="E182" s="1" t="s">
        <v>44</v>
      </c>
      <c r="F182" s="1" t="s">
        <v>65</v>
      </c>
      <c r="G182" s="1">
        <v>54</v>
      </c>
      <c r="H182" s="1">
        <v>3.04</v>
      </c>
      <c r="I182" s="1">
        <v>164.28</v>
      </c>
      <c r="J182" s="1" t="s">
        <v>30</v>
      </c>
      <c r="K182" s="1" t="s">
        <v>31</v>
      </c>
    </row>
    <row r="183" spans="1:11" x14ac:dyDescent="0.35">
      <c r="A183" s="1">
        <v>2182</v>
      </c>
      <c r="B183" s="1" t="s">
        <v>38</v>
      </c>
      <c r="C183" s="1" t="s">
        <v>27</v>
      </c>
      <c r="D183" s="1" t="s">
        <v>28</v>
      </c>
      <c r="E183" s="1" t="s">
        <v>21</v>
      </c>
      <c r="F183" s="1" t="s">
        <v>22</v>
      </c>
      <c r="G183" s="1">
        <v>54</v>
      </c>
      <c r="H183" s="1">
        <v>213.89</v>
      </c>
      <c r="I183" s="1">
        <v>11549.92</v>
      </c>
      <c r="J183" s="1" t="s">
        <v>30</v>
      </c>
      <c r="K183" s="1" t="s">
        <v>23</v>
      </c>
    </row>
    <row r="184" spans="1:11" x14ac:dyDescent="0.35">
      <c r="A184" s="1">
        <v>2183</v>
      </c>
      <c r="B184" s="1" t="s">
        <v>26</v>
      </c>
      <c r="C184" s="1" t="s">
        <v>27</v>
      </c>
      <c r="D184" s="1" t="s">
        <v>58</v>
      </c>
      <c r="E184" s="1" t="s">
        <v>14</v>
      </c>
      <c r="F184" s="1" t="s">
        <v>15</v>
      </c>
      <c r="G184" s="1">
        <v>49</v>
      </c>
      <c r="H184" s="1">
        <v>75.900000000000006</v>
      </c>
      <c r="I184" s="1">
        <v>3718.99</v>
      </c>
      <c r="J184" s="1" t="s">
        <v>30</v>
      </c>
      <c r="K184" s="1" t="s">
        <v>23</v>
      </c>
    </row>
    <row r="185" spans="1:11" x14ac:dyDescent="0.35">
      <c r="A185" s="1">
        <v>2184</v>
      </c>
      <c r="B185" s="1" t="s">
        <v>59</v>
      </c>
      <c r="C185" s="1" t="s">
        <v>12</v>
      </c>
      <c r="D185" s="1" t="s">
        <v>28</v>
      </c>
      <c r="E185" s="1" t="s">
        <v>14</v>
      </c>
      <c r="F185" s="1" t="s">
        <v>15</v>
      </c>
      <c r="G185" s="1">
        <v>20</v>
      </c>
      <c r="H185" s="1">
        <v>69.89</v>
      </c>
      <c r="I185" s="1">
        <v>1397.86</v>
      </c>
      <c r="J185" s="1" t="s">
        <v>30</v>
      </c>
      <c r="K185" s="1" t="s">
        <v>17</v>
      </c>
    </row>
    <row r="186" spans="1:11" x14ac:dyDescent="0.35">
      <c r="A186" s="1">
        <v>2185</v>
      </c>
      <c r="B186" s="1" t="s">
        <v>123</v>
      </c>
      <c r="C186" s="1" t="s">
        <v>27</v>
      </c>
      <c r="D186" s="1" t="s">
        <v>20</v>
      </c>
      <c r="E186" s="1" t="s">
        <v>14</v>
      </c>
      <c r="F186" s="1" t="s">
        <v>68</v>
      </c>
      <c r="G186" s="1">
        <v>44</v>
      </c>
      <c r="H186" s="1">
        <v>873.88</v>
      </c>
      <c r="I186" s="1">
        <v>38450.699999999997</v>
      </c>
      <c r="J186" s="1" t="s">
        <v>30</v>
      </c>
      <c r="K186" s="1" t="s">
        <v>17</v>
      </c>
    </row>
    <row r="187" spans="1:11" x14ac:dyDescent="0.35">
      <c r="A187" s="1">
        <v>2186</v>
      </c>
      <c r="B187" s="1" t="s">
        <v>41</v>
      </c>
      <c r="C187" s="1" t="s">
        <v>19</v>
      </c>
      <c r="D187" s="1" t="s">
        <v>58</v>
      </c>
      <c r="E187" s="1" t="s">
        <v>44</v>
      </c>
      <c r="F187" s="1" t="s">
        <v>65</v>
      </c>
      <c r="G187" s="1">
        <v>72</v>
      </c>
      <c r="H187" s="1">
        <v>2.85</v>
      </c>
      <c r="I187" s="1">
        <v>205.01</v>
      </c>
      <c r="J187" s="1" t="s">
        <v>30</v>
      </c>
      <c r="K187" s="1" t="s">
        <v>23</v>
      </c>
    </row>
    <row r="188" spans="1:11" x14ac:dyDescent="0.35">
      <c r="A188" s="1">
        <v>2187</v>
      </c>
      <c r="B188" s="1" t="s">
        <v>129</v>
      </c>
      <c r="C188" s="1" t="s">
        <v>19</v>
      </c>
      <c r="D188" s="1" t="s">
        <v>47</v>
      </c>
      <c r="E188" s="1" t="s">
        <v>14</v>
      </c>
      <c r="F188" s="1" t="s">
        <v>52</v>
      </c>
      <c r="G188" s="1">
        <v>28</v>
      </c>
      <c r="H188" s="1">
        <v>23.76</v>
      </c>
      <c r="I188" s="1">
        <v>665.38</v>
      </c>
      <c r="J188" s="1" t="s">
        <v>16</v>
      </c>
      <c r="K188" s="1" t="s">
        <v>17</v>
      </c>
    </row>
    <row r="189" spans="1:11" x14ac:dyDescent="0.35">
      <c r="A189" s="1">
        <v>2188</v>
      </c>
      <c r="B189" s="1" t="s">
        <v>96</v>
      </c>
      <c r="C189" s="1" t="s">
        <v>32</v>
      </c>
      <c r="D189" s="1" t="s">
        <v>20</v>
      </c>
      <c r="E189" s="1" t="s">
        <v>44</v>
      </c>
      <c r="F189" s="1" t="s">
        <v>50</v>
      </c>
      <c r="G189" s="1">
        <v>62</v>
      </c>
      <c r="H189" s="1">
        <v>1.45</v>
      </c>
      <c r="I189" s="1">
        <v>89.88</v>
      </c>
      <c r="J189" s="1" t="s">
        <v>16</v>
      </c>
      <c r="K189" s="1" t="s">
        <v>17</v>
      </c>
    </row>
    <row r="190" spans="1:11" x14ac:dyDescent="0.35">
      <c r="A190" s="1">
        <v>2189</v>
      </c>
      <c r="B190" s="1" t="s">
        <v>122</v>
      </c>
      <c r="C190" s="1" t="s">
        <v>12</v>
      </c>
      <c r="D190" s="1" t="s">
        <v>58</v>
      </c>
      <c r="E190" s="1" t="s">
        <v>14</v>
      </c>
      <c r="F190" s="1" t="s">
        <v>68</v>
      </c>
      <c r="G190" s="1">
        <v>4</v>
      </c>
      <c r="H190" s="1">
        <v>906.8</v>
      </c>
      <c r="I190" s="1">
        <v>3627.21</v>
      </c>
      <c r="J190" s="1" t="s">
        <v>30</v>
      </c>
      <c r="K190" s="1" t="s">
        <v>31</v>
      </c>
    </row>
    <row r="191" spans="1:11" x14ac:dyDescent="0.35">
      <c r="A191" s="1">
        <v>2190</v>
      </c>
      <c r="B191" s="1" t="s">
        <v>98</v>
      </c>
      <c r="C191" s="1" t="s">
        <v>27</v>
      </c>
      <c r="D191" s="1" t="s">
        <v>47</v>
      </c>
      <c r="E191" s="1" t="s">
        <v>44</v>
      </c>
      <c r="F191" s="1" t="s">
        <v>50</v>
      </c>
      <c r="G191" s="1">
        <v>62</v>
      </c>
      <c r="H191" s="1">
        <v>1.57</v>
      </c>
      <c r="I191" s="1">
        <v>97.15</v>
      </c>
      <c r="J191" s="1" t="s">
        <v>16</v>
      </c>
      <c r="K191" s="1" t="s">
        <v>23</v>
      </c>
    </row>
    <row r="192" spans="1:11" x14ac:dyDescent="0.35">
      <c r="A192" s="1">
        <v>2191</v>
      </c>
      <c r="B192" s="1" t="s">
        <v>116</v>
      </c>
      <c r="C192" s="1" t="s">
        <v>12</v>
      </c>
      <c r="D192" s="1" t="s">
        <v>40</v>
      </c>
      <c r="E192" s="1" t="s">
        <v>14</v>
      </c>
      <c r="F192" s="1" t="s">
        <v>82</v>
      </c>
      <c r="G192" s="1">
        <v>73</v>
      </c>
      <c r="H192" s="1">
        <v>169.9</v>
      </c>
      <c r="I192" s="1">
        <v>12402.52</v>
      </c>
      <c r="J192" s="1" t="s">
        <v>16</v>
      </c>
      <c r="K192" s="1" t="s">
        <v>17</v>
      </c>
    </row>
    <row r="193" spans="1:11" x14ac:dyDescent="0.35">
      <c r="A193" s="1">
        <v>2192</v>
      </c>
      <c r="B193" s="1" t="s">
        <v>92</v>
      </c>
      <c r="C193" s="1" t="s">
        <v>32</v>
      </c>
      <c r="D193" s="1" t="s">
        <v>47</v>
      </c>
      <c r="E193" s="1" t="s">
        <v>44</v>
      </c>
      <c r="F193" s="1" t="s">
        <v>74</v>
      </c>
      <c r="G193" s="1">
        <v>75</v>
      </c>
      <c r="H193" s="1">
        <v>5.78</v>
      </c>
      <c r="I193" s="1">
        <v>433.61</v>
      </c>
      <c r="J193" s="1" t="s">
        <v>16</v>
      </c>
      <c r="K193" s="1" t="s">
        <v>31</v>
      </c>
    </row>
    <row r="194" spans="1:11" x14ac:dyDescent="0.35">
      <c r="A194" s="1">
        <v>2193</v>
      </c>
      <c r="B194" s="1" t="s">
        <v>98</v>
      </c>
      <c r="C194" s="1" t="s">
        <v>32</v>
      </c>
      <c r="D194" s="1" t="s">
        <v>36</v>
      </c>
      <c r="E194" s="1" t="s">
        <v>14</v>
      </c>
      <c r="F194" s="1" t="s">
        <v>82</v>
      </c>
      <c r="G194" s="1">
        <v>66</v>
      </c>
      <c r="H194" s="1">
        <v>163.9</v>
      </c>
      <c r="I194" s="1">
        <v>10817.59</v>
      </c>
      <c r="J194" s="1" t="s">
        <v>30</v>
      </c>
      <c r="K194" s="1" t="s">
        <v>25</v>
      </c>
    </row>
    <row r="195" spans="1:11" x14ac:dyDescent="0.35">
      <c r="A195" s="1">
        <v>2194</v>
      </c>
      <c r="B195" s="1" t="s">
        <v>67</v>
      </c>
      <c r="C195" s="1" t="s">
        <v>32</v>
      </c>
      <c r="D195" s="1" t="s">
        <v>28</v>
      </c>
      <c r="E195" s="1" t="s">
        <v>21</v>
      </c>
      <c r="F195" s="1" t="s">
        <v>42</v>
      </c>
      <c r="G195" s="1">
        <v>32</v>
      </c>
      <c r="H195" s="1">
        <v>240.25</v>
      </c>
      <c r="I195" s="1">
        <v>7688.07</v>
      </c>
      <c r="J195" s="1" t="s">
        <v>16</v>
      </c>
      <c r="K195" s="1" t="s">
        <v>17</v>
      </c>
    </row>
    <row r="196" spans="1:11" x14ac:dyDescent="0.35">
      <c r="A196" s="1">
        <v>2195</v>
      </c>
      <c r="B196" s="1" t="s">
        <v>91</v>
      </c>
      <c r="C196" s="1" t="s">
        <v>12</v>
      </c>
      <c r="D196" s="1" t="s">
        <v>33</v>
      </c>
      <c r="E196" s="1" t="s">
        <v>44</v>
      </c>
      <c r="F196" s="1" t="s">
        <v>74</v>
      </c>
      <c r="G196" s="1">
        <v>13</v>
      </c>
      <c r="H196" s="1">
        <v>6.17</v>
      </c>
      <c r="I196" s="1">
        <v>80.239999999999995</v>
      </c>
      <c r="J196" s="1" t="s">
        <v>30</v>
      </c>
      <c r="K196" s="1" t="s">
        <v>25</v>
      </c>
    </row>
    <row r="197" spans="1:11" x14ac:dyDescent="0.35">
      <c r="A197" s="1">
        <v>2196</v>
      </c>
      <c r="B197" s="1" t="s">
        <v>61</v>
      </c>
      <c r="C197" s="1" t="s">
        <v>19</v>
      </c>
      <c r="D197" s="1" t="s">
        <v>40</v>
      </c>
      <c r="E197" s="1" t="s">
        <v>21</v>
      </c>
      <c r="F197" s="1" t="s">
        <v>22</v>
      </c>
      <c r="G197" s="1">
        <v>79</v>
      </c>
      <c r="H197" s="1">
        <v>202.36</v>
      </c>
      <c r="I197" s="1">
        <v>15986.37</v>
      </c>
      <c r="J197" s="1" t="s">
        <v>16</v>
      </c>
      <c r="K197" s="1" t="s">
        <v>17</v>
      </c>
    </row>
    <row r="198" spans="1:11" x14ac:dyDescent="0.35">
      <c r="A198" s="1">
        <v>2197</v>
      </c>
      <c r="B198" s="1" t="s">
        <v>90</v>
      </c>
      <c r="C198" s="1" t="s">
        <v>19</v>
      </c>
      <c r="D198" s="1" t="s">
        <v>36</v>
      </c>
      <c r="E198" s="1" t="s">
        <v>21</v>
      </c>
      <c r="F198" s="1" t="s">
        <v>34</v>
      </c>
      <c r="G198" s="1">
        <v>9</v>
      </c>
      <c r="H198" s="1">
        <v>113.26</v>
      </c>
      <c r="I198" s="1">
        <v>1019.37</v>
      </c>
      <c r="J198" s="1" t="s">
        <v>16</v>
      </c>
      <c r="K198" s="1" t="s">
        <v>17</v>
      </c>
    </row>
    <row r="199" spans="1:11" x14ac:dyDescent="0.35">
      <c r="A199" s="1">
        <v>2198</v>
      </c>
      <c r="B199" s="1" t="s">
        <v>93</v>
      </c>
      <c r="C199" s="1" t="s">
        <v>32</v>
      </c>
      <c r="D199" s="1" t="s">
        <v>13</v>
      </c>
      <c r="E199" s="1" t="s">
        <v>21</v>
      </c>
      <c r="F199" s="1" t="s">
        <v>76</v>
      </c>
      <c r="G199" s="1">
        <v>26</v>
      </c>
      <c r="H199" s="1">
        <v>875.17</v>
      </c>
      <c r="I199" s="1">
        <v>22754.45</v>
      </c>
      <c r="J199" s="1" t="s">
        <v>30</v>
      </c>
      <c r="K199" s="1" t="s">
        <v>31</v>
      </c>
    </row>
    <row r="200" spans="1:11" x14ac:dyDescent="0.35">
      <c r="A200" s="1">
        <v>2199</v>
      </c>
      <c r="B200" s="1" t="s">
        <v>90</v>
      </c>
      <c r="C200" s="1" t="s">
        <v>27</v>
      </c>
      <c r="D200" s="1" t="s">
        <v>33</v>
      </c>
      <c r="E200" s="1" t="s">
        <v>14</v>
      </c>
      <c r="F200" s="1" t="s">
        <v>52</v>
      </c>
      <c r="G200" s="1">
        <v>73</v>
      </c>
      <c r="H200" s="1">
        <v>22.5</v>
      </c>
      <c r="I200" s="1">
        <v>1642.85</v>
      </c>
      <c r="J200" s="1" t="s">
        <v>16</v>
      </c>
      <c r="K200" s="1" t="s">
        <v>17</v>
      </c>
    </row>
    <row r="201" spans="1:11" x14ac:dyDescent="0.35">
      <c r="A201" s="1">
        <v>2200</v>
      </c>
      <c r="B201" s="1" t="s">
        <v>60</v>
      </c>
      <c r="C201" s="1" t="s">
        <v>12</v>
      </c>
      <c r="D201" s="1" t="s">
        <v>28</v>
      </c>
      <c r="E201" s="1" t="s">
        <v>14</v>
      </c>
      <c r="F201" s="1" t="s">
        <v>87</v>
      </c>
      <c r="G201" s="1">
        <v>3</v>
      </c>
      <c r="H201" s="1">
        <v>55.25</v>
      </c>
      <c r="I201" s="1">
        <v>165.75</v>
      </c>
      <c r="J201" s="1" t="s">
        <v>30</v>
      </c>
      <c r="K201" s="1" t="s">
        <v>17</v>
      </c>
    </row>
    <row r="202" spans="1:11" x14ac:dyDescent="0.35">
      <c r="A202" s="1">
        <v>2201</v>
      </c>
      <c r="B202" s="1" t="s">
        <v>131</v>
      </c>
      <c r="C202" s="1" t="s">
        <v>32</v>
      </c>
      <c r="D202" s="1" t="s">
        <v>13</v>
      </c>
      <c r="E202" s="1" t="s">
        <v>14</v>
      </c>
      <c r="F202" s="1" t="s">
        <v>29</v>
      </c>
      <c r="G202" s="1">
        <v>71</v>
      </c>
      <c r="H202" s="1">
        <v>19.600000000000001</v>
      </c>
      <c r="I202" s="1">
        <v>1391.56</v>
      </c>
      <c r="J202" s="1" t="s">
        <v>16</v>
      </c>
      <c r="K202" s="1" t="s">
        <v>31</v>
      </c>
    </row>
    <row r="203" spans="1:11" x14ac:dyDescent="0.35">
      <c r="A203" s="1">
        <v>2202</v>
      </c>
      <c r="B203" s="1" t="s">
        <v>122</v>
      </c>
      <c r="C203" s="1" t="s">
        <v>27</v>
      </c>
      <c r="D203" s="1" t="s">
        <v>13</v>
      </c>
      <c r="E203" s="1" t="s">
        <v>14</v>
      </c>
      <c r="F203" s="1" t="s">
        <v>52</v>
      </c>
      <c r="G203" s="1">
        <v>18</v>
      </c>
      <c r="H203" s="1">
        <v>24.03</v>
      </c>
      <c r="I203" s="1">
        <v>432.49</v>
      </c>
      <c r="J203" s="1" t="s">
        <v>16</v>
      </c>
      <c r="K203" s="1" t="s">
        <v>23</v>
      </c>
    </row>
    <row r="204" spans="1:11" x14ac:dyDescent="0.35">
      <c r="A204" s="1">
        <v>2203</v>
      </c>
      <c r="B204" s="1" t="s">
        <v>79</v>
      </c>
      <c r="C204" s="1" t="s">
        <v>32</v>
      </c>
      <c r="D204" s="1" t="s">
        <v>20</v>
      </c>
      <c r="E204" s="1" t="s">
        <v>21</v>
      </c>
      <c r="F204" s="1" t="s">
        <v>62</v>
      </c>
      <c r="G204" s="1">
        <v>80</v>
      </c>
      <c r="H204" s="1">
        <v>360.06</v>
      </c>
      <c r="I204" s="1">
        <v>28805.14</v>
      </c>
      <c r="J204" s="1" t="s">
        <v>16</v>
      </c>
      <c r="K204" s="1" t="s">
        <v>25</v>
      </c>
    </row>
    <row r="205" spans="1:11" x14ac:dyDescent="0.35">
      <c r="A205" s="1">
        <v>2204</v>
      </c>
      <c r="B205" s="1" t="s">
        <v>75</v>
      </c>
      <c r="C205" s="1" t="s">
        <v>12</v>
      </c>
      <c r="D205" s="1" t="s">
        <v>33</v>
      </c>
      <c r="E205" s="1" t="s">
        <v>44</v>
      </c>
      <c r="F205" s="1" t="s">
        <v>65</v>
      </c>
      <c r="G205" s="1">
        <v>52</v>
      </c>
      <c r="H205" s="1">
        <v>2.94</v>
      </c>
      <c r="I205" s="1">
        <v>152.9</v>
      </c>
      <c r="J205" s="1" t="s">
        <v>30</v>
      </c>
      <c r="K205" s="1" t="s">
        <v>17</v>
      </c>
    </row>
    <row r="206" spans="1:11" x14ac:dyDescent="0.35">
      <c r="A206" s="1">
        <v>2205</v>
      </c>
      <c r="B206" s="1" t="s">
        <v>56</v>
      </c>
      <c r="C206" s="1" t="s">
        <v>32</v>
      </c>
      <c r="D206" s="1" t="s">
        <v>33</v>
      </c>
      <c r="E206" s="1" t="s">
        <v>21</v>
      </c>
      <c r="F206" s="1" t="s">
        <v>62</v>
      </c>
      <c r="G206" s="1">
        <v>67</v>
      </c>
      <c r="H206" s="1">
        <v>364.9</v>
      </c>
      <c r="I206" s="1">
        <v>24448.28</v>
      </c>
      <c r="J206" s="1" t="s">
        <v>30</v>
      </c>
      <c r="K206" s="1" t="s">
        <v>23</v>
      </c>
    </row>
    <row r="207" spans="1:11" x14ac:dyDescent="0.35">
      <c r="A207" s="1">
        <v>2206</v>
      </c>
      <c r="B207" s="1" t="s">
        <v>26</v>
      </c>
      <c r="C207" s="1" t="s">
        <v>12</v>
      </c>
      <c r="D207" s="1" t="s">
        <v>13</v>
      </c>
      <c r="E207" s="1" t="s">
        <v>44</v>
      </c>
      <c r="F207" s="1" t="s">
        <v>45</v>
      </c>
      <c r="G207" s="1">
        <v>75</v>
      </c>
      <c r="H207" s="1">
        <v>8.51</v>
      </c>
      <c r="I207" s="1">
        <v>638.08000000000004</v>
      </c>
      <c r="J207" s="1" t="s">
        <v>16</v>
      </c>
      <c r="K207" s="1" t="s">
        <v>17</v>
      </c>
    </row>
    <row r="208" spans="1:11" x14ac:dyDescent="0.35">
      <c r="A208" s="1">
        <v>2207</v>
      </c>
      <c r="B208" s="1" t="s">
        <v>132</v>
      </c>
      <c r="C208" s="1" t="s">
        <v>27</v>
      </c>
      <c r="D208" s="1" t="s">
        <v>36</v>
      </c>
      <c r="E208" s="1" t="s">
        <v>21</v>
      </c>
      <c r="F208" s="1" t="s">
        <v>76</v>
      </c>
      <c r="G208" s="1">
        <v>18</v>
      </c>
      <c r="H208" s="1">
        <v>738.51</v>
      </c>
      <c r="I208" s="1">
        <v>13293.18</v>
      </c>
      <c r="J208" s="1" t="s">
        <v>30</v>
      </c>
      <c r="K208" s="1" t="s">
        <v>17</v>
      </c>
    </row>
    <row r="209" spans="1:11" x14ac:dyDescent="0.35">
      <c r="A209" s="1">
        <v>2208</v>
      </c>
      <c r="B209" s="1" t="s">
        <v>99</v>
      </c>
      <c r="C209" s="1" t="s">
        <v>19</v>
      </c>
      <c r="D209" s="1" t="s">
        <v>13</v>
      </c>
      <c r="E209" s="1" t="s">
        <v>21</v>
      </c>
      <c r="F209" s="1" t="s">
        <v>76</v>
      </c>
      <c r="G209" s="1">
        <v>62</v>
      </c>
      <c r="H209" s="1">
        <v>722.55</v>
      </c>
      <c r="I209" s="1">
        <v>44797.88</v>
      </c>
      <c r="J209" s="1" t="s">
        <v>30</v>
      </c>
      <c r="K209" s="1" t="s">
        <v>25</v>
      </c>
    </row>
    <row r="210" spans="1:11" x14ac:dyDescent="0.35">
      <c r="A210" s="1">
        <v>2209</v>
      </c>
      <c r="B210" s="1" t="s">
        <v>18</v>
      </c>
      <c r="C210" s="1" t="s">
        <v>32</v>
      </c>
      <c r="D210" s="1" t="s">
        <v>20</v>
      </c>
      <c r="E210" s="1" t="s">
        <v>44</v>
      </c>
      <c r="F210" s="1" t="s">
        <v>65</v>
      </c>
      <c r="G210" s="1">
        <v>68</v>
      </c>
      <c r="H210" s="1">
        <v>2.71</v>
      </c>
      <c r="I210" s="1">
        <v>184.4</v>
      </c>
      <c r="J210" s="1" t="s">
        <v>16</v>
      </c>
      <c r="K210" s="1" t="s">
        <v>31</v>
      </c>
    </row>
    <row r="211" spans="1:11" x14ac:dyDescent="0.35">
      <c r="A211" s="1">
        <v>2210</v>
      </c>
      <c r="B211" s="1" t="s">
        <v>118</v>
      </c>
      <c r="C211" s="1" t="s">
        <v>19</v>
      </c>
      <c r="D211" s="1" t="s">
        <v>33</v>
      </c>
      <c r="E211" s="1" t="s">
        <v>44</v>
      </c>
      <c r="F211" s="1" t="s">
        <v>74</v>
      </c>
      <c r="G211" s="1">
        <v>69</v>
      </c>
      <c r="H211" s="1">
        <v>6.43</v>
      </c>
      <c r="I211" s="1">
        <v>443.58</v>
      </c>
      <c r="J211" s="1" t="s">
        <v>16</v>
      </c>
      <c r="K211" s="1" t="s">
        <v>17</v>
      </c>
    </row>
    <row r="212" spans="1:11" x14ac:dyDescent="0.35">
      <c r="A212" s="1">
        <v>2211</v>
      </c>
      <c r="B212" s="1" t="s">
        <v>49</v>
      </c>
      <c r="C212" s="1" t="s">
        <v>27</v>
      </c>
      <c r="D212" s="1" t="s">
        <v>58</v>
      </c>
      <c r="E212" s="1" t="s">
        <v>14</v>
      </c>
      <c r="F212" s="1" t="s">
        <v>52</v>
      </c>
      <c r="G212" s="1">
        <v>55</v>
      </c>
      <c r="H212" s="1">
        <v>25.2</v>
      </c>
      <c r="I212" s="1">
        <v>1386.12</v>
      </c>
      <c r="J212" s="1" t="s">
        <v>16</v>
      </c>
      <c r="K212" s="1" t="s">
        <v>17</v>
      </c>
    </row>
    <row r="213" spans="1:11" x14ac:dyDescent="0.35">
      <c r="A213" s="1">
        <v>2212</v>
      </c>
      <c r="B213" s="1" t="s">
        <v>63</v>
      </c>
      <c r="C213" s="1" t="s">
        <v>19</v>
      </c>
      <c r="D213" s="1" t="s">
        <v>58</v>
      </c>
      <c r="E213" s="1" t="s">
        <v>14</v>
      </c>
      <c r="F213" s="1" t="s">
        <v>29</v>
      </c>
      <c r="G213" s="1">
        <v>27</v>
      </c>
      <c r="H213" s="1">
        <v>19.670000000000002</v>
      </c>
      <c r="I213" s="1">
        <v>531.19000000000005</v>
      </c>
      <c r="J213" s="1" t="s">
        <v>16</v>
      </c>
      <c r="K213" s="1" t="s">
        <v>17</v>
      </c>
    </row>
    <row r="214" spans="1:11" x14ac:dyDescent="0.35">
      <c r="A214" s="1">
        <v>2213</v>
      </c>
      <c r="B214" s="1" t="s">
        <v>79</v>
      </c>
      <c r="C214" s="1" t="s">
        <v>27</v>
      </c>
      <c r="D214" s="1" t="s">
        <v>47</v>
      </c>
      <c r="E214" s="1" t="s">
        <v>14</v>
      </c>
      <c r="F214" s="1" t="s">
        <v>29</v>
      </c>
      <c r="G214" s="1">
        <v>47</v>
      </c>
      <c r="H214" s="1">
        <v>18.190000000000001</v>
      </c>
      <c r="I214" s="1">
        <v>854.76</v>
      </c>
      <c r="J214" s="1" t="s">
        <v>30</v>
      </c>
      <c r="K214" s="1" t="s">
        <v>17</v>
      </c>
    </row>
    <row r="215" spans="1:11" x14ac:dyDescent="0.35">
      <c r="A215" s="1">
        <v>2214</v>
      </c>
      <c r="B215" s="1" t="s">
        <v>117</v>
      </c>
      <c r="C215" s="1" t="s">
        <v>32</v>
      </c>
      <c r="D215" s="1" t="s">
        <v>28</v>
      </c>
      <c r="E215" s="1" t="s">
        <v>14</v>
      </c>
      <c r="F215" s="1" t="s">
        <v>29</v>
      </c>
      <c r="G215" s="1">
        <v>10</v>
      </c>
      <c r="H215" s="1">
        <v>21.93</v>
      </c>
      <c r="I215" s="1">
        <v>219.3</v>
      </c>
      <c r="J215" s="1" t="s">
        <v>30</v>
      </c>
      <c r="K215" s="1" t="s">
        <v>25</v>
      </c>
    </row>
    <row r="216" spans="1:11" x14ac:dyDescent="0.35">
      <c r="A216" s="1">
        <v>2215</v>
      </c>
      <c r="B216" s="1" t="s">
        <v>11</v>
      </c>
      <c r="C216" s="1" t="s">
        <v>19</v>
      </c>
      <c r="D216" s="1" t="s">
        <v>28</v>
      </c>
      <c r="E216" s="1" t="s">
        <v>44</v>
      </c>
      <c r="F216" s="1" t="s">
        <v>65</v>
      </c>
      <c r="G216" s="1">
        <v>36</v>
      </c>
      <c r="H216" s="1">
        <v>2.91</v>
      </c>
      <c r="I216" s="1">
        <v>104.83</v>
      </c>
      <c r="J216" s="1" t="s">
        <v>30</v>
      </c>
      <c r="K216" s="1" t="s">
        <v>25</v>
      </c>
    </row>
    <row r="217" spans="1:11" x14ac:dyDescent="0.35">
      <c r="A217" s="1">
        <v>2216</v>
      </c>
      <c r="B217" s="1" t="s">
        <v>132</v>
      </c>
      <c r="C217" s="1" t="s">
        <v>32</v>
      </c>
      <c r="D217" s="1" t="s">
        <v>47</v>
      </c>
      <c r="E217" s="1" t="s">
        <v>14</v>
      </c>
      <c r="F217" s="1" t="s">
        <v>87</v>
      </c>
      <c r="G217" s="1">
        <v>6</v>
      </c>
      <c r="H217" s="1">
        <v>58.11</v>
      </c>
      <c r="I217" s="1">
        <v>348.65</v>
      </c>
      <c r="J217" s="1" t="s">
        <v>30</v>
      </c>
      <c r="K217" s="1" t="s">
        <v>17</v>
      </c>
    </row>
    <row r="218" spans="1:11" x14ac:dyDescent="0.35">
      <c r="A218" s="1">
        <v>2217</v>
      </c>
      <c r="B218" s="1" t="s">
        <v>81</v>
      </c>
      <c r="C218" s="1" t="s">
        <v>27</v>
      </c>
      <c r="D218" s="1" t="s">
        <v>33</v>
      </c>
      <c r="E218" s="1" t="s">
        <v>21</v>
      </c>
      <c r="F218" s="1" t="s">
        <v>22</v>
      </c>
      <c r="G218" s="1">
        <v>55</v>
      </c>
      <c r="H218" s="1">
        <v>211.93</v>
      </c>
      <c r="I218" s="1">
        <v>11655.94</v>
      </c>
      <c r="J218" s="1" t="s">
        <v>30</v>
      </c>
      <c r="K218" s="1" t="s">
        <v>25</v>
      </c>
    </row>
    <row r="219" spans="1:11" x14ac:dyDescent="0.35">
      <c r="A219" s="1">
        <v>2218</v>
      </c>
      <c r="B219" s="1" t="s">
        <v>49</v>
      </c>
      <c r="C219" s="1" t="s">
        <v>19</v>
      </c>
      <c r="D219" s="1" t="s">
        <v>47</v>
      </c>
      <c r="E219" s="1" t="s">
        <v>44</v>
      </c>
      <c r="F219" s="1" t="s">
        <v>65</v>
      </c>
      <c r="G219" s="1">
        <v>26</v>
      </c>
      <c r="H219" s="1">
        <v>3.14</v>
      </c>
      <c r="I219" s="1">
        <v>81.63</v>
      </c>
      <c r="J219" s="1" t="s">
        <v>30</v>
      </c>
      <c r="K219" s="1" t="s">
        <v>23</v>
      </c>
    </row>
    <row r="220" spans="1:11" x14ac:dyDescent="0.35">
      <c r="A220" s="1">
        <v>2219</v>
      </c>
      <c r="B220" s="1" t="s">
        <v>55</v>
      </c>
      <c r="C220" s="1" t="s">
        <v>19</v>
      </c>
      <c r="D220" s="1" t="s">
        <v>13</v>
      </c>
      <c r="E220" s="1" t="s">
        <v>44</v>
      </c>
      <c r="F220" s="1" t="s">
        <v>65</v>
      </c>
      <c r="G220" s="1">
        <v>72</v>
      </c>
      <c r="H220" s="1">
        <v>2.73</v>
      </c>
      <c r="I220" s="1">
        <v>196.75</v>
      </c>
      <c r="J220" s="1" t="s">
        <v>30</v>
      </c>
      <c r="K220" s="1" t="s">
        <v>17</v>
      </c>
    </row>
    <row r="221" spans="1:11" x14ac:dyDescent="0.35">
      <c r="A221" s="1">
        <v>2220</v>
      </c>
      <c r="B221" s="1" t="s">
        <v>125</v>
      </c>
      <c r="C221" s="1" t="s">
        <v>32</v>
      </c>
      <c r="D221" s="1" t="s">
        <v>13</v>
      </c>
      <c r="E221" s="1" t="s">
        <v>21</v>
      </c>
      <c r="F221" s="1" t="s">
        <v>62</v>
      </c>
      <c r="G221" s="1">
        <v>15</v>
      </c>
      <c r="H221" s="1">
        <v>357.96</v>
      </c>
      <c r="I221" s="1">
        <v>5369.35</v>
      </c>
      <c r="J221" s="1" t="s">
        <v>16</v>
      </c>
      <c r="K221" s="1" t="s">
        <v>31</v>
      </c>
    </row>
    <row r="222" spans="1:11" x14ac:dyDescent="0.35">
      <c r="A222" s="1">
        <v>2221</v>
      </c>
      <c r="B222" s="1" t="s">
        <v>84</v>
      </c>
      <c r="C222" s="1" t="s">
        <v>27</v>
      </c>
      <c r="D222" s="1" t="s">
        <v>40</v>
      </c>
      <c r="E222" s="1" t="s">
        <v>44</v>
      </c>
      <c r="F222" s="1" t="s">
        <v>45</v>
      </c>
      <c r="G222" s="1">
        <v>71</v>
      </c>
      <c r="H222" s="1">
        <v>8.07</v>
      </c>
      <c r="I222" s="1">
        <v>572.64</v>
      </c>
      <c r="J222" s="1" t="s">
        <v>30</v>
      </c>
      <c r="K222" s="1" t="s">
        <v>25</v>
      </c>
    </row>
    <row r="223" spans="1:11" x14ac:dyDescent="0.35">
      <c r="A223" s="1">
        <v>2222</v>
      </c>
      <c r="B223" s="1" t="s">
        <v>119</v>
      </c>
      <c r="C223" s="1" t="s">
        <v>12</v>
      </c>
      <c r="D223" s="1" t="s">
        <v>13</v>
      </c>
      <c r="E223" s="1" t="s">
        <v>44</v>
      </c>
      <c r="F223" s="1" t="s">
        <v>65</v>
      </c>
      <c r="G223" s="1">
        <v>80</v>
      </c>
      <c r="H223" s="1">
        <v>2.9</v>
      </c>
      <c r="I223" s="1">
        <v>231.77</v>
      </c>
      <c r="J223" s="1" t="s">
        <v>16</v>
      </c>
      <c r="K223" s="1" t="s">
        <v>23</v>
      </c>
    </row>
    <row r="224" spans="1:11" x14ac:dyDescent="0.35">
      <c r="A224" s="1">
        <v>2223</v>
      </c>
      <c r="B224" s="1" t="s">
        <v>129</v>
      </c>
      <c r="C224" s="1" t="s">
        <v>19</v>
      </c>
      <c r="D224" s="1" t="s">
        <v>33</v>
      </c>
      <c r="E224" s="1" t="s">
        <v>14</v>
      </c>
      <c r="F224" s="1" t="s">
        <v>29</v>
      </c>
      <c r="G224" s="1">
        <v>52</v>
      </c>
      <c r="H224" s="1">
        <v>20.11</v>
      </c>
      <c r="I224" s="1">
        <v>1045.76</v>
      </c>
      <c r="J224" s="1" t="s">
        <v>30</v>
      </c>
      <c r="K224" s="1" t="s">
        <v>17</v>
      </c>
    </row>
    <row r="225" spans="1:11" x14ac:dyDescent="0.35">
      <c r="A225" s="1">
        <v>2224</v>
      </c>
      <c r="B225" s="1" t="s">
        <v>78</v>
      </c>
      <c r="C225" s="1" t="s">
        <v>32</v>
      </c>
      <c r="D225" s="1" t="s">
        <v>40</v>
      </c>
      <c r="E225" s="1" t="s">
        <v>21</v>
      </c>
      <c r="F225" s="1" t="s">
        <v>76</v>
      </c>
      <c r="G225" s="1">
        <v>1</v>
      </c>
      <c r="H225" s="1">
        <v>869.36</v>
      </c>
      <c r="I225" s="1">
        <v>869.36</v>
      </c>
      <c r="J225" s="1" t="s">
        <v>30</v>
      </c>
      <c r="K225" s="1" t="s">
        <v>23</v>
      </c>
    </row>
    <row r="226" spans="1:11" x14ac:dyDescent="0.35">
      <c r="A226" s="1">
        <v>2225</v>
      </c>
      <c r="B226" s="1" t="s">
        <v>122</v>
      </c>
      <c r="C226" s="1" t="s">
        <v>12</v>
      </c>
      <c r="D226" s="1" t="s">
        <v>20</v>
      </c>
      <c r="E226" s="1" t="s">
        <v>21</v>
      </c>
      <c r="F226" s="1" t="s">
        <v>34</v>
      </c>
      <c r="G226" s="1">
        <v>72</v>
      </c>
      <c r="H226" s="1">
        <v>110.14</v>
      </c>
      <c r="I226" s="1">
        <v>7929.85</v>
      </c>
      <c r="J226" s="1" t="s">
        <v>30</v>
      </c>
      <c r="K226" s="1" t="s">
        <v>17</v>
      </c>
    </row>
    <row r="227" spans="1:11" x14ac:dyDescent="0.35">
      <c r="A227" s="1">
        <v>2226</v>
      </c>
      <c r="B227" s="1" t="s">
        <v>132</v>
      </c>
      <c r="C227" s="1" t="s">
        <v>27</v>
      </c>
      <c r="D227" s="1" t="s">
        <v>20</v>
      </c>
      <c r="E227" s="1" t="s">
        <v>44</v>
      </c>
      <c r="F227" s="1" t="s">
        <v>50</v>
      </c>
      <c r="G227" s="1">
        <v>39</v>
      </c>
      <c r="H227" s="1">
        <v>1.57</v>
      </c>
      <c r="I227" s="1">
        <v>61.23</v>
      </c>
      <c r="J227" s="1" t="s">
        <v>30</v>
      </c>
      <c r="K227" s="1" t="s">
        <v>25</v>
      </c>
    </row>
    <row r="228" spans="1:11" x14ac:dyDescent="0.35">
      <c r="A228" s="1">
        <v>2227</v>
      </c>
      <c r="B228" s="1" t="s">
        <v>80</v>
      </c>
      <c r="C228" s="1" t="s">
        <v>12</v>
      </c>
      <c r="D228" s="1" t="s">
        <v>36</v>
      </c>
      <c r="E228" s="1" t="s">
        <v>44</v>
      </c>
      <c r="F228" s="1" t="s">
        <v>74</v>
      </c>
      <c r="G228" s="1">
        <v>34</v>
      </c>
      <c r="H228" s="1">
        <v>6.3</v>
      </c>
      <c r="I228" s="1">
        <v>214.07</v>
      </c>
      <c r="J228" s="1" t="s">
        <v>30</v>
      </c>
      <c r="K228" s="1" t="s">
        <v>23</v>
      </c>
    </row>
    <row r="229" spans="1:11" x14ac:dyDescent="0.35">
      <c r="A229" s="1">
        <v>2228</v>
      </c>
      <c r="B229" s="1" t="s">
        <v>24</v>
      </c>
      <c r="C229" s="1" t="s">
        <v>32</v>
      </c>
      <c r="D229" s="1" t="s">
        <v>33</v>
      </c>
      <c r="E229" s="1" t="s">
        <v>14</v>
      </c>
      <c r="F229" s="1" t="s">
        <v>37</v>
      </c>
      <c r="G229" s="1">
        <v>60</v>
      </c>
      <c r="H229" s="1">
        <v>295.67</v>
      </c>
      <c r="I229" s="1">
        <v>17740.11</v>
      </c>
      <c r="J229" s="1" t="s">
        <v>16</v>
      </c>
      <c r="K229" s="1" t="s">
        <v>17</v>
      </c>
    </row>
    <row r="230" spans="1:11" x14ac:dyDescent="0.35">
      <c r="A230" s="1">
        <v>2229</v>
      </c>
      <c r="B230" s="1" t="s">
        <v>86</v>
      </c>
      <c r="C230" s="1" t="s">
        <v>27</v>
      </c>
      <c r="D230" s="1" t="s">
        <v>13</v>
      </c>
      <c r="E230" s="1" t="s">
        <v>14</v>
      </c>
      <c r="F230" s="1" t="s">
        <v>82</v>
      </c>
      <c r="G230" s="1">
        <v>29</v>
      </c>
      <c r="H230" s="1">
        <v>189.91</v>
      </c>
      <c r="I230" s="1">
        <v>5507.44</v>
      </c>
      <c r="J230" s="1" t="s">
        <v>16</v>
      </c>
      <c r="K230" s="1" t="s">
        <v>17</v>
      </c>
    </row>
    <row r="231" spans="1:11" x14ac:dyDescent="0.35">
      <c r="A231" s="1">
        <v>2230</v>
      </c>
      <c r="B231" s="1" t="s">
        <v>125</v>
      </c>
      <c r="C231" s="1" t="s">
        <v>27</v>
      </c>
      <c r="D231" s="1" t="s">
        <v>40</v>
      </c>
      <c r="E231" s="1" t="s">
        <v>44</v>
      </c>
      <c r="F231" s="1" t="s">
        <v>48</v>
      </c>
      <c r="G231" s="1">
        <v>1</v>
      </c>
      <c r="H231" s="1">
        <v>3.61</v>
      </c>
      <c r="I231" s="1">
        <v>3.61</v>
      </c>
      <c r="J231" s="1" t="s">
        <v>30</v>
      </c>
      <c r="K231" s="1" t="s">
        <v>23</v>
      </c>
    </row>
    <row r="232" spans="1:11" x14ac:dyDescent="0.35">
      <c r="A232" s="1">
        <v>2231</v>
      </c>
      <c r="B232" s="1" t="s">
        <v>67</v>
      </c>
      <c r="C232" s="1" t="s">
        <v>32</v>
      </c>
      <c r="D232" s="1" t="s">
        <v>47</v>
      </c>
      <c r="E232" s="1" t="s">
        <v>44</v>
      </c>
      <c r="F232" s="1" t="s">
        <v>74</v>
      </c>
      <c r="G232" s="1">
        <v>53</v>
      </c>
      <c r="H232" s="1">
        <v>5.51</v>
      </c>
      <c r="I232" s="1">
        <v>291.83</v>
      </c>
      <c r="J232" s="1" t="s">
        <v>16</v>
      </c>
      <c r="K232" s="1" t="s">
        <v>31</v>
      </c>
    </row>
    <row r="233" spans="1:11" x14ac:dyDescent="0.35">
      <c r="A233" s="1">
        <v>2232</v>
      </c>
      <c r="B233" s="1" t="s">
        <v>133</v>
      </c>
      <c r="C233" s="1" t="s">
        <v>32</v>
      </c>
      <c r="D233" s="1" t="s">
        <v>58</v>
      </c>
      <c r="E233" s="1" t="s">
        <v>21</v>
      </c>
      <c r="F233" s="1" t="s">
        <v>62</v>
      </c>
      <c r="G233" s="1">
        <v>13</v>
      </c>
      <c r="H233" s="1">
        <v>352.03</v>
      </c>
      <c r="I233" s="1">
        <v>4576.33</v>
      </c>
      <c r="J233" s="1" t="s">
        <v>30</v>
      </c>
      <c r="K233" s="1" t="s">
        <v>31</v>
      </c>
    </row>
    <row r="234" spans="1:11" x14ac:dyDescent="0.35">
      <c r="A234" s="1">
        <v>2233</v>
      </c>
      <c r="B234" s="1" t="s">
        <v>132</v>
      </c>
      <c r="C234" s="1" t="s">
        <v>19</v>
      </c>
      <c r="D234" s="1" t="s">
        <v>33</v>
      </c>
      <c r="E234" s="1" t="s">
        <v>44</v>
      </c>
      <c r="F234" s="1" t="s">
        <v>45</v>
      </c>
      <c r="G234" s="1">
        <v>20</v>
      </c>
      <c r="H234" s="1">
        <v>7.56</v>
      </c>
      <c r="I234" s="1">
        <v>151.13</v>
      </c>
      <c r="J234" s="1" t="s">
        <v>16</v>
      </c>
      <c r="K234" s="1" t="s">
        <v>25</v>
      </c>
    </row>
    <row r="235" spans="1:11" x14ac:dyDescent="0.35">
      <c r="A235" s="1">
        <v>2234</v>
      </c>
      <c r="B235" s="1" t="s">
        <v>66</v>
      </c>
      <c r="C235" s="1" t="s">
        <v>12</v>
      </c>
      <c r="D235" s="1" t="s">
        <v>33</v>
      </c>
      <c r="E235" s="1" t="s">
        <v>21</v>
      </c>
      <c r="F235" s="1" t="s">
        <v>22</v>
      </c>
      <c r="G235" s="1">
        <v>21</v>
      </c>
      <c r="H235" s="1">
        <v>216.99</v>
      </c>
      <c r="I235" s="1">
        <v>4556.6899999999996</v>
      </c>
      <c r="J235" s="1" t="s">
        <v>30</v>
      </c>
      <c r="K235" s="1" t="s">
        <v>17</v>
      </c>
    </row>
    <row r="236" spans="1:11" x14ac:dyDescent="0.35">
      <c r="A236" s="1">
        <v>2235</v>
      </c>
      <c r="B236" s="1" t="s">
        <v>61</v>
      </c>
      <c r="C236" s="1" t="s">
        <v>32</v>
      </c>
      <c r="D236" s="1" t="s">
        <v>28</v>
      </c>
      <c r="E236" s="1" t="s">
        <v>14</v>
      </c>
      <c r="F236" s="1" t="s">
        <v>82</v>
      </c>
      <c r="G236" s="1">
        <v>55</v>
      </c>
      <c r="H236" s="1">
        <v>188.4</v>
      </c>
      <c r="I236" s="1">
        <v>10361.99</v>
      </c>
      <c r="J236" s="1" t="s">
        <v>30</v>
      </c>
      <c r="K236" s="1" t="s">
        <v>23</v>
      </c>
    </row>
    <row r="237" spans="1:11" x14ac:dyDescent="0.35">
      <c r="A237" s="1">
        <v>2236</v>
      </c>
      <c r="B237" s="1" t="s">
        <v>83</v>
      </c>
      <c r="C237" s="1" t="s">
        <v>19</v>
      </c>
      <c r="D237" s="1" t="s">
        <v>36</v>
      </c>
      <c r="E237" s="1" t="s">
        <v>21</v>
      </c>
      <c r="F237" s="1" t="s">
        <v>34</v>
      </c>
      <c r="G237" s="1">
        <v>62</v>
      </c>
      <c r="H237" s="1">
        <v>118.35</v>
      </c>
      <c r="I237" s="1">
        <v>7337.63</v>
      </c>
      <c r="J237" s="1" t="s">
        <v>30</v>
      </c>
      <c r="K237" s="1" t="s">
        <v>23</v>
      </c>
    </row>
    <row r="238" spans="1:11" x14ac:dyDescent="0.35">
      <c r="A238" s="1">
        <v>2237</v>
      </c>
      <c r="B238" s="1" t="s">
        <v>90</v>
      </c>
      <c r="C238" s="1" t="s">
        <v>19</v>
      </c>
      <c r="D238" s="1" t="s">
        <v>58</v>
      </c>
      <c r="E238" s="1" t="s">
        <v>14</v>
      </c>
      <c r="F238" s="1" t="s">
        <v>52</v>
      </c>
      <c r="G238" s="1">
        <v>33</v>
      </c>
      <c r="H238" s="1">
        <v>26.02</v>
      </c>
      <c r="I238" s="1">
        <v>858.79</v>
      </c>
      <c r="J238" s="1" t="s">
        <v>16</v>
      </c>
      <c r="K238" s="1" t="s">
        <v>17</v>
      </c>
    </row>
    <row r="239" spans="1:11" x14ac:dyDescent="0.35">
      <c r="A239" s="1">
        <v>2238</v>
      </c>
      <c r="B239" s="1" t="s">
        <v>51</v>
      </c>
      <c r="C239" s="1" t="s">
        <v>12</v>
      </c>
      <c r="D239" s="1" t="s">
        <v>20</v>
      </c>
      <c r="E239" s="1" t="s">
        <v>21</v>
      </c>
      <c r="F239" s="1" t="s">
        <v>42</v>
      </c>
      <c r="G239" s="1">
        <v>18</v>
      </c>
      <c r="H239" s="1">
        <v>233.91</v>
      </c>
      <c r="I239" s="1">
        <v>4210.33</v>
      </c>
      <c r="J239" s="1" t="s">
        <v>16</v>
      </c>
      <c r="K239" s="1" t="s">
        <v>31</v>
      </c>
    </row>
    <row r="240" spans="1:11" x14ac:dyDescent="0.35">
      <c r="A240" s="1">
        <v>2239</v>
      </c>
      <c r="B240" s="1" t="s">
        <v>63</v>
      </c>
      <c r="C240" s="1" t="s">
        <v>32</v>
      </c>
      <c r="D240" s="1" t="s">
        <v>36</v>
      </c>
      <c r="E240" s="1" t="s">
        <v>44</v>
      </c>
      <c r="F240" s="1" t="s">
        <v>74</v>
      </c>
      <c r="G240" s="1">
        <v>79</v>
      </c>
      <c r="H240" s="1">
        <v>5.95</v>
      </c>
      <c r="I240" s="1">
        <v>470.22</v>
      </c>
      <c r="J240" s="1" t="s">
        <v>30</v>
      </c>
      <c r="K240" s="1" t="s">
        <v>25</v>
      </c>
    </row>
    <row r="241" spans="1:11" x14ac:dyDescent="0.35">
      <c r="A241" s="1">
        <v>2240</v>
      </c>
      <c r="B241" s="1" t="s">
        <v>56</v>
      </c>
      <c r="C241" s="1" t="s">
        <v>27</v>
      </c>
      <c r="D241" s="1" t="s">
        <v>20</v>
      </c>
      <c r="E241" s="1" t="s">
        <v>14</v>
      </c>
      <c r="F241" s="1" t="s">
        <v>82</v>
      </c>
      <c r="G241" s="1">
        <v>29</v>
      </c>
      <c r="H241" s="1">
        <v>178.62</v>
      </c>
      <c r="I241" s="1">
        <v>5179.9399999999996</v>
      </c>
      <c r="J241" s="1" t="s">
        <v>30</v>
      </c>
      <c r="K241" s="1" t="s">
        <v>23</v>
      </c>
    </row>
    <row r="242" spans="1:11" x14ac:dyDescent="0.35">
      <c r="A242" s="1">
        <v>2241</v>
      </c>
      <c r="B242" s="1" t="s">
        <v>84</v>
      </c>
      <c r="C242" s="1" t="s">
        <v>32</v>
      </c>
      <c r="D242" s="1" t="s">
        <v>13</v>
      </c>
      <c r="E242" s="1" t="s">
        <v>14</v>
      </c>
      <c r="F242" s="1" t="s">
        <v>52</v>
      </c>
      <c r="G242" s="1">
        <v>79</v>
      </c>
      <c r="H242" s="1">
        <v>26.54</v>
      </c>
      <c r="I242" s="1">
        <v>2096.9699999999998</v>
      </c>
      <c r="J242" s="1" t="s">
        <v>30</v>
      </c>
      <c r="K242" s="1" t="s">
        <v>23</v>
      </c>
    </row>
    <row r="243" spans="1:11" x14ac:dyDescent="0.35">
      <c r="A243" s="1">
        <v>2242</v>
      </c>
      <c r="B243" s="1" t="s">
        <v>70</v>
      </c>
      <c r="C243" s="1" t="s">
        <v>32</v>
      </c>
      <c r="D243" s="1" t="s">
        <v>47</v>
      </c>
      <c r="E243" s="1" t="s">
        <v>44</v>
      </c>
      <c r="F243" s="1" t="s">
        <v>48</v>
      </c>
      <c r="G243" s="1">
        <v>8</v>
      </c>
      <c r="H243" s="1">
        <v>3.93</v>
      </c>
      <c r="I243" s="1">
        <v>31.45</v>
      </c>
      <c r="J243" s="1" t="s">
        <v>30</v>
      </c>
      <c r="K243" s="1" t="s">
        <v>23</v>
      </c>
    </row>
    <row r="244" spans="1:11" x14ac:dyDescent="0.35">
      <c r="A244" s="1">
        <v>2243</v>
      </c>
      <c r="B244" s="1" t="s">
        <v>134</v>
      </c>
      <c r="C244" s="1" t="s">
        <v>32</v>
      </c>
      <c r="D244" s="1" t="s">
        <v>47</v>
      </c>
      <c r="E244" s="1" t="s">
        <v>14</v>
      </c>
      <c r="F244" s="1" t="s">
        <v>87</v>
      </c>
      <c r="G244" s="1">
        <v>23</v>
      </c>
      <c r="H244" s="1">
        <v>60.07</v>
      </c>
      <c r="I244" s="1">
        <v>1381.54</v>
      </c>
      <c r="J244" s="1" t="s">
        <v>30</v>
      </c>
      <c r="K244" s="1" t="s">
        <v>31</v>
      </c>
    </row>
    <row r="245" spans="1:11" x14ac:dyDescent="0.35">
      <c r="A245" s="1">
        <v>2244</v>
      </c>
      <c r="B245" s="1" t="s">
        <v>124</v>
      </c>
      <c r="C245" s="1" t="s">
        <v>32</v>
      </c>
      <c r="D245" s="1" t="s">
        <v>28</v>
      </c>
      <c r="E245" s="1" t="s">
        <v>21</v>
      </c>
      <c r="F245" s="1" t="s">
        <v>62</v>
      </c>
      <c r="G245" s="1">
        <v>49</v>
      </c>
      <c r="H245" s="1">
        <v>364.43</v>
      </c>
      <c r="I245" s="1">
        <v>17857.3</v>
      </c>
      <c r="J245" s="1" t="s">
        <v>16</v>
      </c>
      <c r="K245" s="1" t="s">
        <v>31</v>
      </c>
    </row>
    <row r="246" spans="1:11" x14ac:dyDescent="0.35">
      <c r="A246" s="1">
        <v>2245</v>
      </c>
      <c r="B246" s="1" t="s">
        <v>135</v>
      </c>
      <c r="C246" s="1" t="s">
        <v>32</v>
      </c>
      <c r="D246" s="1" t="s">
        <v>13</v>
      </c>
      <c r="E246" s="1" t="s">
        <v>44</v>
      </c>
      <c r="F246" s="1" t="s">
        <v>65</v>
      </c>
      <c r="G246" s="1">
        <v>29</v>
      </c>
      <c r="H246" s="1">
        <v>2.98</v>
      </c>
      <c r="I246" s="1">
        <v>86.44</v>
      </c>
      <c r="J246" s="1" t="s">
        <v>30</v>
      </c>
      <c r="K246" s="1" t="s">
        <v>31</v>
      </c>
    </row>
    <row r="247" spans="1:11" x14ac:dyDescent="0.35">
      <c r="A247" s="1">
        <v>2246</v>
      </c>
      <c r="B247" s="1" t="s">
        <v>60</v>
      </c>
      <c r="C247" s="1" t="s">
        <v>19</v>
      </c>
      <c r="D247" s="1" t="s">
        <v>36</v>
      </c>
      <c r="E247" s="1" t="s">
        <v>44</v>
      </c>
      <c r="F247" s="1" t="s">
        <v>48</v>
      </c>
      <c r="G247" s="1">
        <v>80</v>
      </c>
      <c r="H247" s="1">
        <v>4.07</v>
      </c>
      <c r="I247" s="1">
        <v>325.64</v>
      </c>
      <c r="J247" s="1" t="s">
        <v>30</v>
      </c>
      <c r="K247" s="1" t="s">
        <v>31</v>
      </c>
    </row>
    <row r="248" spans="1:11" x14ac:dyDescent="0.35">
      <c r="A248" s="1">
        <v>2247</v>
      </c>
      <c r="B248" s="1" t="s">
        <v>83</v>
      </c>
      <c r="C248" s="1" t="s">
        <v>12</v>
      </c>
      <c r="D248" s="1" t="s">
        <v>13</v>
      </c>
      <c r="E248" s="1" t="s">
        <v>21</v>
      </c>
      <c r="F248" s="1" t="s">
        <v>42</v>
      </c>
      <c r="G248" s="1">
        <v>48</v>
      </c>
      <c r="H248" s="1">
        <v>233.65</v>
      </c>
      <c r="I248" s="1">
        <v>11215.09</v>
      </c>
      <c r="J248" s="1" t="s">
        <v>30</v>
      </c>
      <c r="K248" s="1" t="s">
        <v>31</v>
      </c>
    </row>
    <row r="249" spans="1:11" x14ac:dyDescent="0.35">
      <c r="A249" s="1">
        <v>2248</v>
      </c>
      <c r="B249" s="1" t="s">
        <v>129</v>
      </c>
      <c r="C249" s="1" t="s">
        <v>19</v>
      </c>
      <c r="D249" s="1" t="s">
        <v>20</v>
      </c>
      <c r="E249" s="1" t="s">
        <v>21</v>
      </c>
      <c r="F249" s="1" t="s">
        <v>62</v>
      </c>
      <c r="G249" s="1">
        <v>73</v>
      </c>
      <c r="H249" s="1">
        <v>358.24</v>
      </c>
      <c r="I249" s="1">
        <v>26151.78</v>
      </c>
      <c r="J249" s="1" t="s">
        <v>16</v>
      </c>
      <c r="K249" s="1" t="s">
        <v>25</v>
      </c>
    </row>
    <row r="250" spans="1:11" x14ac:dyDescent="0.35">
      <c r="A250" s="1">
        <v>2249</v>
      </c>
      <c r="B250" s="1" t="s">
        <v>103</v>
      </c>
      <c r="C250" s="1" t="s">
        <v>32</v>
      </c>
      <c r="D250" s="1" t="s">
        <v>20</v>
      </c>
      <c r="E250" s="1" t="s">
        <v>14</v>
      </c>
      <c r="F250" s="1" t="s">
        <v>87</v>
      </c>
      <c r="G250" s="1">
        <v>45</v>
      </c>
      <c r="H250" s="1">
        <v>63.1</v>
      </c>
      <c r="I250" s="1">
        <v>2839.42</v>
      </c>
      <c r="J250" s="1" t="s">
        <v>16</v>
      </c>
      <c r="K250" s="1" t="s">
        <v>25</v>
      </c>
    </row>
    <row r="251" spans="1:11" x14ac:dyDescent="0.35">
      <c r="A251" s="1">
        <v>2250</v>
      </c>
      <c r="B251" s="1" t="s">
        <v>59</v>
      </c>
      <c r="C251" s="1" t="s">
        <v>19</v>
      </c>
      <c r="D251" s="1" t="s">
        <v>33</v>
      </c>
      <c r="E251" s="1" t="s">
        <v>44</v>
      </c>
      <c r="F251" s="1" t="s">
        <v>74</v>
      </c>
      <c r="G251" s="1">
        <v>9</v>
      </c>
      <c r="H251" s="1">
        <v>5.99</v>
      </c>
      <c r="I251" s="1">
        <v>53.93</v>
      </c>
      <c r="J251" s="1" t="s">
        <v>30</v>
      </c>
      <c r="K251" s="1" t="s">
        <v>17</v>
      </c>
    </row>
    <row r="252" spans="1:11" x14ac:dyDescent="0.35">
      <c r="A252" s="1">
        <v>2251</v>
      </c>
      <c r="B252" s="1" t="s">
        <v>128</v>
      </c>
      <c r="C252" s="1" t="s">
        <v>19</v>
      </c>
      <c r="D252" s="1" t="s">
        <v>33</v>
      </c>
      <c r="E252" s="1" t="s">
        <v>44</v>
      </c>
      <c r="F252" s="1" t="s">
        <v>74</v>
      </c>
      <c r="G252" s="1">
        <v>65</v>
      </c>
      <c r="H252" s="1">
        <v>5.85</v>
      </c>
      <c r="I252" s="1">
        <v>380.26</v>
      </c>
      <c r="J252" s="1" t="s">
        <v>30</v>
      </c>
      <c r="K252" s="1" t="s">
        <v>17</v>
      </c>
    </row>
    <row r="253" spans="1:11" x14ac:dyDescent="0.35">
      <c r="A253" s="1">
        <v>2252</v>
      </c>
      <c r="B253" s="1" t="s">
        <v>109</v>
      </c>
      <c r="C253" s="1" t="s">
        <v>19</v>
      </c>
      <c r="D253" s="1" t="s">
        <v>47</v>
      </c>
      <c r="E253" s="1" t="s">
        <v>21</v>
      </c>
      <c r="F253" s="1" t="s">
        <v>42</v>
      </c>
      <c r="G253" s="1">
        <v>36</v>
      </c>
      <c r="H253" s="1">
        <v>247.68</v>
      </c>
      <c r="I253" s="1">
        <v>8916.49</v>
      </c>
      <c r="J253" s="1" t="s">
        <v>30</v>
      </c>
      <c r="K253" s="1" t="s">
        <v>17</v>
      </c>
    </row>
    <row r="254" spans="1:11" x14ac:dyDescent="0.35">
      <c r="A254" s="1">
        <v>2253</v>
      </c>
      <c r="B254" s="1" t="s">
        <v>130</v>
      </c>
      <c r="C254" s="1" t="s">
        <v>32</v>
      </c>
      <c r="D254" s="1" t="s">
        <v>58</v>
      </c>
      <c r="E254" s="1" t="s">
        <v>21</v>
      </c>
      <c r="F254" s="1" t="s">
        <v>42</v>
      </c>
      <c r="G254" s="1">
        <v>54</v>
      </c>
      <c r="H254" s="1">
        <v>246.23</v>
      </c>
      <c r="I254" s="1">
        <v>13296.61</v>
      </c>
      <c r="J254" s="1" t="s">
        <v>16</v>
      </c>
      <c r="K254" s="1" t="s">
        <v>25</v>
      </c>
    </row>
    <row r="255" spans="1:11" x14ac:dyDescent="0.35">
      <c r="A255" s="1">
        <v>2254</v>
      </c>
      <c r="B255" s="1" t="s">
        <v>24</v>
      </c>
      <c r="C255" s="1" t="s">
        <v>19</v>
      </c>
      <c r="D255" s="1" t="s">
        <v>40</v>
      </c>
      <c r="E255" s="1" t="s">
        <v>14</v>
      </c>
      <c r="F255" s="1" t="s">
        <v>37</v>
      </c>
      <c r="G255" s="1">
        <v>10</v>
      </c>
      <c r="H255" s="1">
        <v>322.24</v>
      </c>
      <c r="I255" s="1">
        <v>3222.43</v>
      </c>
      <c r="J255" s="1" t="s">
        <v>16</v>
      </c>
      <c r="K255" s="1" t="s">
        <v>23</v>
      </c>
    </row>
    <row r="256" spans="1:11" x14ac:dyDescent="0.35">
      <c r="A256" s="1">
        <v>2255</v>
      </c>
      <c r="B256" s="1" t="s">
        <v>43</v>
      </c>
      <c r="C256" s="1" t="s">
        <v>12</v>
      </c>
      <c r="D256" s="1" t="s">
        <v>40</v>
      </c>
      <c r="E256" s="1" t="s">
        <v>14</v>
      </c>
      <c r="F256" s="1" t="s">
        <v>68</v>
      </c>
      <c r="G256" s="1">
        <v>52</v>
      </c>
      <c r="H256" s="1">
        <v>834.97</v>
      </c>
      <c r="I256" s="1">
        <v>43418.32</v>
      </c>
      <c r="J256" s="1" t="s">
        <v>30</v>
      </c>
      <c r="K256" s="1" t="s">
        <v>31</v>
      </c>
    </row>
    <row r="257" spans="1:11" x14ac:dyDescent="0.35">
      <c r="A257" s="1">
        <v>2256</v>
      </c>
      <c r="B257" s="1" t="s">
        <v>100</v>
      </c>
      <c r="C257" s="1" t="s">
        <v>12</v>
      </c>
      <c r="D257" s="1" t="s">
        <v>58</v>
      </c>
      <c r="E257" s="1" t="s">
        <v>44</v>
      </c>
      <c r="F257" s="1" t="s">
        <v>65</v>
      </c>
      <c r="G257" s="1">
        <v>68</v>
      </c>
      <c r="H257" s="1">
        <v>3.25</v>
      </c>
      <c r="I257" s="1">
        <v>221.22</v>
      </c>
      <c r="J257" s="1" t="s">
        <v>30</v>
      </c>
      <c r="K257" s="1" t="s">
        <v>17</v>
      </c>
    </row>
    <row r="258" spans="1:11" x14ac:dyDescent="0.35">
      <c r="A258" s="1">
        <v>2257</v>
      </c>
      <c r="B258" s="1" t="s">
        <v>101</v>
      </c>
      <c r="C258" s="1" t="s">
        <v>19</v>
      </c>
      <c r="D258" s="1" t="s">
        <v>36</v>
      </c>
      <c r="E258" s="1" t="s">
        <v>44</v>
      </c>
      <c r="F258" s="1" t="s">
        <v>65</v>
      </c>
      <c r="G258" s="1">
        <v>60</v>
      </c>
      <c r="H258" s="1">
        <v>2.92</v>
      </c>
      <c r="I258" s="1">
        <v>175.47</v>
      </c>
      <c r="J258" s="1" t="s">
        <v>30</v>
      </c>
      <c r="K258" s="1" t="s">
        <v>31</v>
      </c>
    </row>
    <row r="259" spans="1:11" x14ac:dyDescent="0.35">
      <c r="A259" s="1">
        <v>2258</v>
      </c>
      <c r="B259" s="1" t="s">
        <v>98</v>
      </c>
      <c r="C259" s="1" t="s">
        <v>12</v>
      </c>
      <c r="D259" s="1" t="s">
        <v>40</v>
      </c>
      <c r="E259" s="1" t="s">
        <v>21</v>
      </c>
      <c r="F259" s="1" t="s">
        <v>22</v>
      </c>
      <c r="G259" s="1">
        <v>9</v>
      </c>
      <c r="H259" s="1">
        <v>207.19</v>
      </c>
      <c r="I259" s="1">
        <v>1864.75</v>
      </c>
      <c r="J259" s="1" t="s">
        <v>30</v>
      </c>
      <c r="K259" s="1" t="s">
        <v>31</v>
      </c>
    </row>
    <row r="260" spans="1:11" x14ac:dyDescent="0.35">
      <c r="A260" s="1">
        <v>2259</v>
      </c>
      <c r="B260" s="1" t="s">
        <v>135</v>
      </c>
      <c r="C260" s="1" t="s">
        <v>27</v>
      </c>
      <c r="D260" s="1" t="s">
        <v>47</v>
      </c>
      <c r="E260" s="1" t="s">
        <v>44</v>
      </c>
      <c r="F260" s="1" t="s">
        <v>45</v>
      </c>
      <c r="G260" s="1">
        <v>7</v>
      </c>
      <c r="H260" s="1">
        <v>7.34</v>
      </c>
      <c r="I260" s="1">
        <v>51.35</v>
      </c>
      <c r="J260" s="1" t="s">
        <v>30</v>
      </c>
      <c r="K260" s="1" t="s">
        <v>17</v>
      </c>
    </row>
    <row r="261" spans="1:11" x14ac:dyDescent="0.35">
      <c r="A261" s="1">
        <v>2260</v>
      </c>
      <c r="B261" s="1" t="s">
        <v>106</v>
      </c>
      <c r="C261" s="1" t="s">
        <v>32</v>
      </c>
      <c r="D261" s="1" t="s">
        <v>33</v>
      </c>
      <c r="E261" s="1" t="s">
        <v>21</v>
      </c>
      <c r="F261" s="1" t="s">
        <v>42</v>
      </c>
      <c r="G261" s="1">
        <v>10</v>
      </c>
      <c r="H261" s="1">
        <v>267.64</v>
      </c>
      <c r="I261" s="1">
        <v>2676.36</v>
      </c>
      <c r="J261" s="1" t="s">
        <v>16</v>
      </c>
      <c r="K261" s="1" t="s">
        <v>25</v>
      </c>
    </row>
    <row r="262" spans="1:11" x14ac:dyDescent="0.35">
      <c r="A262" s="1">
        <v>2261</v>
      </c>
      <c r="B262" s="1" t="s">
        <v>128</v>
      </c>
      <c r="C262" s="1" t="s">
        <v>27</v>
      </c>
      <c r="D262" s="1" t="s">
        <v>33</v>
      </c>
      <c r="E262" s="1" t="s">
        <v>14</v>
      </c>
      <c r="F262" s="1" t="s">
        <v>15</v>
      </c>
      <c r="G262" s="1">
        <v>65</v>
      </c>
      <c r="H262" s="1">
        <v>74.040000000000006</v>
      </c>
      <c r="I262" s="1">
        <v>4812.68</v>
      </c>
      <c r="J262" s="1" t="s">
        <v>16</v>
      </c>
      <c r="K262" s="1" t="s">
        <v>31</v>
      </c>
    </row>
    <row r="263" spans="1:11" x14ac:dyDescent="0.35">
      <c r="A263" s="1">
        <v>2262</v>
      </c>
      <c r="B263" s="1" t="s">
        <v>41</v>
      </c>
      <c r="C263" s="1" t="s">
        <v>27</v>
      </c>
      <c r="D263" s="1" t="s">
        <v>33</v>
      </c>
      <c r="E263" s="1" t="s">
        <v>14</v>
      </c>
      <c r="F263" s="1" t="s">
        <v>52</v>
      </c>
      <c r="G263" s="1">
        <v>78</v>
      </c>
      <c r="H263" s="1">
        <v>23.17</v>
      </c>
      <c r="I263" s="1">
        <v>1806.92</v>
      </c>
      <c r="J263" s="1" t="s">
        <v>30</v>
      </c>
      <c r="K263" s="1" t="s">
        <v>17</v>
      </c>
    </row>
    <row r="264" spans="1:11" x14ac:dyDescent="0.35">
      <c r="A264" s="1">
        <v>2263</v>
      </c>
      <c r="B264" s="1" t="s">
        <v>111</v>
      </c>
      <c r="C264" s="1" t="s">
        <v>32</v>
      </c>
      <c r="D264" s="1" t="s">
        <v>40</v>
      </c>
      <c r="E264" s="1" t="s">
        <v>14</v>
      </c>
      <c r="F264" s="1" t="s">
        <v>68</v>
      </c>
      <c r="G264" s="1">
        <v>60</v>
      </c>
      <c r="H264" s="1">
        <v>882.5</v>
      </c>
      <c r="I264" s="1">
        <v>52949.98</v>
      </c>
      <c r="J264" s="1" t="s">
        <v>16</v>
      </c>
      <c r="K264" s="1" t="s">
        <v>23</v>
      </c>
    </row>
    <row r="265" spans="1:11" x14ac:dyDescent="0.35">
      <c r="A265" s="1">
        <v>2264</v>
      </c>
      <c r="B265" s="1" t="s">
        <v>130</v>
      </c>
      <c r="C265" s="1" t="s">
        <v>12</v>
      </c>
      <c r="D265" s="1" t="s">
        <v>36</v>
      </c>
      <c r="E265" s="1" t="s">
        <v>14</v>
      </c>
      <c r="F265" s="1" t="s">
        <v>52</v>
      </c>
      <c r="G265" s="1">
        <v>49</v>
      </c>
      <c r="H265" s="1">
        <v>25.78</v>
      </c>
      <c r="I265" s="1">
        <v>1263.08</v>
      </c>
      <c r="J265" s="1" t="s">
        <v>30</v>
      </c>
      <c r="K265" s="1" t="s">
        <v>31</v>
      </c>
    </row>
    <row r="266" spans="1:11" x14ac:dyDescent="0.35">
      <c r="A266" s="1">
        <v>2265</v>
      </c>
      <c r="B266" s="1" t="s">
        <v>79</v>
      </c>
      <c r="C266" s="1" t="s">
        <v>27</v>
      </c>
      <c r="D266" s="1" t="s">
        <v>47</v>
      </c>
      <c r="E266" s="1" t="s">
        <v>21</v>
      </c>
      <c r="F266" s="1" t="s">
        <v>34</v>
      </c>
      <c r="G266" s="1">
        <v>76</v>
      </c>
      <c r="H266" s="1">
        <v>120.39</v>
      </c>
      <c r="I266" s="1">
        <v>9149.74</v>
      </c>
      <c r="J266" s="1" t="s">
        <v>16</v>
      </c>
      <c r="K266" s="1" t="s">
        <v>31</v>
      </c>
    </row>
    <row r="267" spans="1:11" x14ac:dyDescent="0.35">
      <c r="A267" s="1">
        <v>2266</v>
      </c>
      <c r="B267" s="1" t="s">
        <v>86</v>
      </c>
      <c r="C267" s="1" t="s">
        <v>12</v>
      </c>
      <c r="D267" s="1" t="s">
        <v>58</v>
      </c>
      <c r="E267" s="1" t="s">
        <v>21</v>
      </c>
      <c r="F267" s="1" t="s">
        <v>76</v>
      </c>
      <c r="G267" s="1">
        <v>32</v>
      </c>
      <c r="H267" s="1">
        <v>842.21</v>
      </c>
      <c r="I267" s="1">
        <v>26950.61</v>
      </c>
      <c r="J267" s="1" t="s">
        <v>30</v>
      </c>
      <c r="K267" s="1" t="s">
        <v>31</v>
      </c>
    </row>
    <row r="268" spans="1:11" x14ac:dyDescent="0.35">
      <c r="A268" s="1">
        <v>2267</v>
      </c>
      <c r="B268" s="1" t="s">
        <v>39</v>
      </c>
      <c r="C268" s="1" t="s">
        <v>12</v>
      </c>
      <c r="D268" s="1" t="s">
        <v>20</v>
      </c>
      <c r="E268" s="1" t="s">
        <v>14</v>
      </c>
      <c r="F268" s="1" t="s">
        <v>37</v>
      </c>
      <c r="G268" s="1">
        <v>2</v>
      </c>
      <c r="H268" s="1">
        <v>288.69</v>
      </c>
      <c r="I268" s="1">
        <v>577.39</v>
      </c>
      <c r="J268" s="1" t="s">
        <v>30</v>
      </c>
      <c r="K268" s="1" t="s">
        <v>17</v>
      </c>
    </row>
    <row r="269" spans="1:11" x14ac:dyDescent="0.35">
      <c r="A269" s="1">
        <v>2268</v>
      </c>
      <c r="B269" s="1" t="s">
        <v>72</v>
      </c>
      <c r="C269" s="1" t="s">
        <v>12</v>
      </c>
      <c r="D269" s="1" t="s">
        <v>33</v>
      </c>
      <c r="E269" s="1" t="s">
        <v>21</v>
      </c>
      <c r="F269" s="1" t="s">
        <v>42</v>
      </c>
      <c r="G269" s="1">
        <v>59</v>
      </c>
      <c r="H269" s="1">
        <v>258.70999999999998</v>
      </c>
      <c r="I269" s="1">
        <v>15263.72</v>
      </c>
      <c r="J269" s="1" t="s">
        <v>30</v>
      </c>
      <c r="K269" s="1" t="s">
        <v>23</v>
      </c>
    </row>
    <row r="270" spans="1:11" x14ac:dyDescent="0.35">
      <c r="A270" s="1">
        <v>2269</v>
      </c>
      <c r="B270" s="1" t="s">
        <v>63</v>
      </c>
      <c r="C270" s="1" t="s">
        <v>19</v>
      </c>
      <c r="D270" s="1" t="s">
        <v>20</v>
      </c>
      <c r="E270" s="1" t="s">
        <v>21</v>
      </c>
      <c r="F270" s="1" t="s">
        <v>76</v>
      </c>
      <c r="G270" s="1">
        <v>68</v>
      </c>
      <c r="H270" s="1">
        <v>744.46</v>
      </c>
      <c r="I270" s="1">
        <v>50623.56</v>
      </c>
      <c r="J270" s="1" t="s">
        <v>30</v>
      </c>
      <c r="K270" s="1" t="s">
        <v>23</v>
      </c>
    </row>
    <row r="271" spans="1:11" x14ac:dyDescent="0.35">
      <c r="A271" s="1">
        <v>2270</v>
      </c>
      <c r="B271" s="1" t="s">
        <v>72</v>
      </c>
      <c r="C271" s="1" t="s">
        <v>27</v>
      </c>
      <c r="D271" s="1" t="s">
        <v>20</v>
      </c>
      <c r="E271" s="1" t="s">
        <v>21</v>
      </c>
      <c r="F271" s="1" t="s">
        <v>76</v>
      </c>
      <c r="G271" s="1">
        <v>8</v>
      </c>
      <c r="H271" s="1">
        <v>826.36</v>
      </c>
      <c r="I271" s="1">
        <v>6610.89</v>
      </c>
      <c r="J271" s="1" t="s">
        <v>30</v>
      </c>
      <c r="K271" s="1" t="s">
        <v>23</v>
      </c>
    </row>
    <row r="272" spans="1:11" x14ac:dyDescent="0.35">
      <c r="A272" s="1">
        <v>2271</v>
      </c>
      <c r="B272" s="1" t="s">
        <v>77</v>
      </c>
      <c r="C272" s="1" t="s">
        <v>19</v>
      </c>
      <c r="D272" s="1" t="s">
        <v>20</v>
      </c>
      <c r="E272" s="1" t="s">
        <v>21</v>
      </c>
      <c r="F272" s="1" t="s">
        <v>62</v>
      </c>
      <c r="G272" s="1">
        <v>64</v>
      </c>
      <c r="H272" s="1">
        <v>315.66000000000003</v>
      </c>
      <c r="I272" s="1">
        <v>20202.25</v>
      </c>
      <c r="J272" s="1" t="s">
        <v>30</v>
      </c>
      <c r="K272" s="1" t="s">
        <v>25</v>
      </c>
    </row>
    <row r="273" spans="1:11" x14ac:dyDescent="0.35">
      <c r="A273" s="1">
        <v>2272</v>
      </c>
      <c r="B273" s="1" t="s">
        <v>125</v>
      </c>
      <c r="C273" s="1" t="s">
        <v>12</v>
      </c>
      <c r="D273" s="1" t="s">
        <v>28</v>
      </c>
      <c r="E273" s="1" t="s">
        <v>44</v>
      </c>
      <c r="F273" s="1" t="s">
        <v>48</v>
      </c>
      <c r="G273" s="1">
        <v>58</v>
      </c>
      <c r="H273" s="1">
        <v>3.82</v>
      </c>
      <c r="I273" s="1">
        <v>221.57</v>
      </c>
      <c r="J273" s="1" t="s">
        <v>16</v>
      </c>
      <c r="K273" s="1" t="s">
        <v>23</v>
      </c>
    </row>
    <row r="274" spans="1:11" x14ac:dyDescent="0.35">
      <c r="A274" s="1">
        <v>2273</v>
      </c>
      <c r="B274" s="1" t="s">
        <v>86</v>
      </c>
      <c r="C274" s="1" t="s">
        <v>19</v>
      </c>
      <c r="D274" s="1" t="s">
        <v>58</v>
      </c>
      <c r="E274" s="1" t="s">
        <v>44</v>
      </c>
      <c r="F274" s="1" t="s">
        <v>45</v>
      </c>
      <c r="G274" s="1">
        <v>32</v>
      </c>
      <c r="H274" s="1">
        <v>7.85</v>
      </c>
      <c r="I274" s="1">
        <v>251.33</v>
      </c>
      <c r="J274" s="1" t="s">
        <v>16</v>
      </c>
      <c r="K274" s="1" t="s">
        <v>23</v>
      </c>
    </row>
    <row r="275" spans="1:11" x14ac:dyDescent="0.35">
      <c r="A275" s="1">
        <v>2274</v>
      </c>
      <c r="B275" s="1" t="s">
        <v>64</v>
      </c>
      <c r="C275" s="1" t="s">
        <v>27</v>
      </c>
      <c r="D275" s="1" t="s">
        <v>36</v>
      </c>
      <c r="E275" s="1" t="s">
        <v>44</v>
      </c>
      <c r="F275" s="1" t="s">
        <v>65</v>
      </c>
      <c r="G275" s="1">
        <v>56</v>
      </c>
      <c r="H275" s="1">
        <v>2.83</v>
      </c>
      <c r="I275" s="1">
        <v>158.47999999999999</v>
      </c>
      <c r="J275" s="1" t="s">
        <v>16</v>
      </c>
      <c r="K275" s="1" t="s">
        <v>17</v>
      </c>
    </row>
    <row r="276" spans="1:11" x14ac:dyDescent="0.35">
      <c r="A276" s="1">
        <v>2275</v>
      </c>
      <c r="B276" s="1" t="s">
        <v>114</v>
      </c>
      <c r="C276" s="1" t="s">
        <v>27</v>
      </c>
      <c r="D276" s="1" t="s">
        <v>13</v>
      </c>
      <c r="E276" s="1" t="s">
        <v>21</v>
      </c>
      <c r="F276" s="1" t="s">
        <v>22</v>
      </c>
      <c r="G276" s="1">
        <v>33</v>
      </c>
      <c r="H276" s="1">
        <v>213.11</v>
      </c>
      <c r="I276" s="1">
        <v>7032.67</v>
      </c>
      <c r="J276" s="1" t="s">
        <v>30</v>
      </c>
      <c r="K276" s="1" t="s">
        <v>31</v>
      </c>
    </row>
    <row r="277" spans="1:11" x14ac:dyDescent="0.35">
      <c r="A277" s="1">
        <v>2276</v>
      </c>
      <c r="B277" s="1" t="s">
        <v>125</v>
      </c>
      <c r="C277" s="1" t="s">
        <v>12</v>
      </c>
      <c r="D277" s="1" t="s">
        <v>33</v>
      </c>
      <c r="E277" s="1" t="s">
        <v>44</v>
      </c>
      <c r="F277" s="1" t="s">
        <v>45</v>
      </c>
      <c r="G277" s="1">
        <v>76</v>
      </c>
      <c r="H277" s="1">
        <v>8.17</v>
      </c>
      <c r="I277" s="1">
        <v>620.54999999999995</v>
      </c>
      <c r="J277" s="1" t="s">
        <v>16</v>
      </c>
      <c r="K277" s="1" t="s">
        <v>17</v>
      </c>
    </row>
    <row r="278" spans="1:11" x14ac:dyDescent="0.35">
      <c r="A278" s="1">
        <v>2277</v>
      </c>
      <c r="B278" s="1" t="s">
        <v>73</v>
      </c>
      <c r="C278" s="1" t="s">
        <v>27</v>
      </c>
      <c r="D278" s="1" t="s">
        <v>47</v>
      </c>
      <c r="E278" s="1" t="s">
        <v>44</v>
      </c>
      <c r="F278" s="1" t="s">
        <v>50</v>
      </c>
      <c r="G278" s="1">
        <v>28</v>
      </c>
      <c r="H278" s="1">
        <v>1.57</v>
      </c>
      <c r="I278" s="1">
        <v>43.97</v>
      </c>
      <c r="J278" s="1" t="s">
        <v>30</v>
      </c>
      <c r="K278" s="1" t="s">
        <v>23</v>
      </c>
    </row>
    <row r="279" spans="1:11" x14ac:dyDescent="0.35">
      <c r="A279" s="1">
        <v>2278</v>
      </c>
      <c r="B279" s="1" t="s">
        <v>111</v>
      </c>
      <c r="C279" s="1" t="s">
        <v>12</v>
      </c>
      <c r="D279" s="1" t="s">
        <v>40</v>
      </c>
      <c r="E279" s="1" t="s">
        <v>44</v>
      </c>
      <c r="F279" s="1" t="s">
        <v>48</v>
      </c>
      <c r="G279" s="1">
        <v>32</v>
      </c>
      <c r="H279" s="1">
        <v>4.24</v>
      </c>
      <c r="I279" s="1">
        <v>135.71</v>
      </c>
      <c r="J279" s="1" t="s">
        <v>30</v>
      </c>
      <c r="K279" s="1" t="s">
        <v>23</v>
      </c>
    </row>
    <row r="280" spans="1:11" x14ac:dyDescent="0.35">
      <c r="A280" s="1">
        <v>2279</v>
      </c>
      <c r="B280" s="1" t="s">
        <v>41</v>
      </c>
      <c r="C280" s="1" t="s">
        <v>12</v>
      </c>
      <c r="D280" s="1" t="s">
        <v>36</v>
      </c>
      <c r="E280" s="1" t="s">
        <v>44</v>
      </c>
      <c r="F280" s="1" t="s">
        <v>48</v>
      </c>
      <c r="G280" s="1">
        <v>76</v>
      </c>
      <c r="H280" s="1">
        <v>3.85</v>
      </c>
      <c r="I280" s="1">
        <v>292.63</v>
      </c>
      <c r="J280" s="1" t="s">
        <v>30</v>
      </c>
      <c r="K280" s="1" t="s">
        <v>17</v>
      </c>
    </row>
    <row r="281" spans="1:11" x14ac:dyDescent="0.35">
      <c r="A281" s="1">
        <v>2280</v>
      </c>
      <c r="B281" s="1" t="s">
        <v>77</v>
      </c>
      <c r="C281" s="1" t="s">
        <v>27</v>
      </c>
      <c r="D281" s="1" t="s">
        <v>58</v>
      </c>
      <c r="E281" s="1" t="s">
        <v>21</v>
      </c>
      <c r="F281" s="1" t="s">
        <v>62</v>
      </c>
      <c r="G281" s="1">
        <v>77</v>
      </c>
      <c r="H281" s="1">
        <v>336.88</v>
      </c>
      <c r="I281" s="1">
        <v>25939.39</v>
      </c>
      <c r="J281" s="1" t="s">
        <v>16</v>
      </c>
      <c r="K281" s="1" t="s">
        <v>31</v>
      </c>
    </row>
    <row r="282" spans="1:11" x14ac:dyDescent="0.35">
      <c r="A282" s="1">
        <v>2281</v>
      </c>
      <c r="B282" s="1" t="s">
        <v>91</v>
      </c>
      <c r="C282" s="1" t="s">
        <v>19</v>
      </c>
      <c r="D282" s="1" t="s">
        <v>40</v>
      </c>
      <c r="E282" s="1" t="s">
        <v>44</v>
      </c>
      <c r="F282" s="1" t="s">
        <v>50</v>
      </c>
      <c r="G282" s="1">
        <v>12</v>
      </c>
      <c r="H282" s="1">
        <v>1.5</v>
      </c>
      <c r="I282" s="1">
        <v>18.04</v>
      </c>
      <c r="J282" s="1" t="s">
        <v>16</v>
      </c>
      <c r="K282" s="1" t="s">
        <v>23</v>
      </c>
    </row>
    <row r="283" spans="1:11" x14ac:dyDescent="0.35">
      <c r="A283" s="1">
        <v>2282</v>
      </c>
      <c r="B283" s="1" t="s">
        <v>56</v>
      </c>
      <c r="C283" s="1" t="s">
        <v>12</v>
      </c>
      <c r="D283" s="1" t="s">
        <v>33</v>
      </c>
      <c r="E283" s="1" t="s">
        <v>14</v>
      </c>
      <c r="F283" s="1" t="s">
        <v>68</v>
      </c>
      <c r="G283" s="1">
        <v>35</v>
      </c>
      <c r="H283" s="1">
        <v>929.75</v>
      </c>
      <c r="I283" s="1">
        <v>32541.21</v>
      </c>
      <c r="J283" s="1" t="s">
        <v>30</v>
      </c>
      <c r="K283" s="1" t="s">
        <v>25</v>
      </c>
    </row>
    <row r="284" spans="1:11" x14ac:dyDescent="0.35">
      <c r="A284" s="1">
        <v>2283</v>
      </c>
      <c r="B284" s="1" t="s">
        <v>120</v>
      </c>
      <c r="C284" s="1" t="s">
        <v>27</v>
      </c>
      <c r="D284" s="1" t="s">
        <v>28</v>
      </c>
      <c r="E284" s="1" t="s">
        <v>21</v>
      </c>
      <c r="F284" s="1" t="s">
        <v>76</v>
      </c>
      <c r="G284" s="1">
        <v>30</v>
      </c>
      <c r="H284" s="1">
        <v>749.73</v>
      </c>
      <c r="I284" s="1">
        <v>22491.88</v>
      </c>
      <c r="J284" s="1" t="s">
        <v>16</v>
      </c>
      <c r="K284" s="1" t="s">
        <v>31</v>
      </c>
    </row>
    <row r="285" spans="1:11" x14ac:dyDescent="0.35">
      <c r="A285" s="1">
        <v>2284</v>
      </c>
      <c r="B285" s="1" t="s">
        <v>41</v>
      </c>
      <c r="C285" s="1" t="s">
        <v>19</v>
      </c>
      <c r="D285" s="1" t="s">
        <v>33</v>
      </c>
      <c r="E285" s="1" t="s">
        <v>21</v>
      </c>
      <c r="F285" s="1" t="s">
        <v>42</v>
      </c>
      <c r="G285" s="1">
        <v>42</v>
      </c>
      <c r="H285" s="1">
        <v>237.4</v>
      </c>
      <c r="I285" s="1">
        <v>9970.85</v>
      </c>
      <c r="J285" s="1" t="s">
        <v>30</v>
      </c>
      <c r="K285" s="1" t="s">
        <v>31</v>
      </c>
    </row>
    <row r="286" spans="1:11" x14ac:dyDescent="0.35">
      <c r="A286" s="1">
        <v>2285</v>
      </c>
      <c r="B286" s="1" t="s">
        <v>95</v>
      </c>
      <c r="C286" s="1" t="s">
        <v>32</v>
      </c>
      <c r="D286" s="1" t="s">
        <v>20</v>
      </c>
      <c r="E286" s="1" t="s">
        <v>14</v>
      </c>
      <c r="F286" s="1" t="s">
        <v>82</v>
      </c>
      <c r="G286" s="1">
        <v>68</v>
      </c>
      <c r="H286" s="1">
        <v>195.91</v>
      </c>
      <c r="I286" s="1">
        <v>13321.64</v>
      </c>
      <c r="J286" s="1" t="s">
        <v>16</v>
      </c>
      <c r="K286" s="1" t="s">
        <v>17</v>
      </c>
    </row>
    <row r="287" spans="1:11" x14ac:dyDescent="0.35">
      <c r="A287" s="1">
        <v>2286</v>
      </c>
      <c r="B287" s="1" t="s">
        <v>57</v>
      </c>
      <c r="C287" s="1" t="s">
        <v>27</v>
      </c>
      <c r="D287" s="1" t="s">
        <v>13</v>
      </c>
      <c r="E287" s="1" t="s">
        <v>21</v>
      </c>
      <c r="F287" s="1" t="s">
        <v>22</v>
      </c>
      <c r="G287" s="1">
        <v>24</v>
      </c>
      <c r="H287" s="1">
        <v>214.09</v>
      </c>
      <c r="I287" s="1">
        <v>5138.2</v>
      </c>
      <c r="J287" s="1" t="s">
        <v>30</v>
      </c>
      <c r="K287" s="1" t="s">
        <v>17</v>
      </c>
    </row>
    <row r="288" spans="1:11" x14ac:dyDescent="0.35">
      <c r="A288" s="1">
        <v>2287</v>
      </c>
      <c r="B288" s="1" t="s">
        <v>54</v>
      </c>
      <c r="C288" s="1" t="s">
        <v>27</v>
      </c>
      <c r="D288" s="1" t="s">
        <v>58</v>
      </c>
      <c r="E288" s="1" t="s">
        <v>14</v>
      </c>
      <c r="F288" s="1" t="s">
        <v>68</v>
      </c>
      <c r="G288" s="1">
        <v>52</v>
      </c>
      <c r="H288" s="1">
        <v>898.37</v>
      </c>
      <c r="I288" s="1">
        <v>46715.48</v>
      </c>
      <c r="J288" s="1" t="s">
        <v>30</v>
      </c>
      <c r="K288" s="1" t="s">
        <v>17</v>
      </c>
    </row>
    <row r="289" spans="1:11" x14ac:dyDescent="0.35">
      <c r="A289" s="1">
        <v>2288</v>
      </c>
      <c r="B289" s="1" t="s">
        <v>110</v>
      </c>
      <c r="C289" s="1" t="s">
        <v>27</v>
      </c>
      <c r="D289" s="1" t="s">
        <v>58</v>
      </c>
      <c r="E289" s="1" t="s">
        <v>44</v>
      </c>
      <c r="F289" s="1" t="s">
        <v>45</v>
      </c>
      <c r="G289" s="1">
        <v>63</v>
      </c>
      <c r="H289" s="1">
        <v>8.0500000000000007</v>
      </c>
      <c r="I289" s="1">
        <v>507.03</v>
      </c>
      <c r="J289" s="1" t="s">
        <v>16</v>
      </c>
      <c r="K289" s="1" t="s">
        <v>17</v>
      </c>
    </row>
    <row r="290" spans="1:11" x14ac:dyDescent="0.35">
      <c r="A290" s="1">
        <v>2289</v>
      </c>
      <c r="B290" s="1" t="s">
        <v>71</v>
      </c>
      <c r="C290" s="1" t="s">
        <v>27</v>
      </c>
      <c r="D290" s="1" t="s">
        <v>47</v>
      </c>
      <c r="E290" s="1" t="s">
        <v>21</v>
      </c>
      <c r="F290" s="1" t="s">
        <v>22</v>
      </c>
      <c r="G290" s="1">
        <v>18</v>
      </c>
      <c r="H290" s="1">
        <v>196.71</v>
      </c>
      <c r="I290" s="1">
        <v>3540.75</v>
      </c>
      <c r="J290" s="1" t="s">
        <v>16</v>
      </c>
      <c r="K290" s="1" t="s">
        <v>23</v>
      </c>
    </row>
    <row r="291" spans="1:11" x14ac:dyDescent="0.35">
      <c r="A291" s="1">
        <v>2290</v>
      </c>
      <c r="B291" s="1" t="s">
        <v>70</v>
      </c>
      <c r="C291" s="1" t="s">
        <v>12</v>
      </c>
      <c r="D291" s="1" t="s">
        <v>58</v>
      </c>
      <c r="E291" s="1" t="s">
        <v>14</v>
      </c>
      <c r="F291" s="1" t="s">
        <v>68</v>
      </c>
      <c r="G291" s="1">
        <v>76</v>
      </c>
      <c r="H291" s="1">
        <v>837.45</v>
      </c>
      <c r="I291" s="1">
        <v>63646.29</v>
      </c>
      <c r="J291" s="1" t="s">
        <v>30</v>
      </c>
      <c r="K291" s="1" t="s">
        <v>23</v>
      </c>
    </row>
    <row r="292" spans="1:11" x14ac:dyDescent="0.35">
      <c r="A292" s="1">
        <v>2291</v>
      </c>
      <c r="B292" s="1" t="s">
        <v>95</v>
      </c>
      <c r="C292" s="1" t="s">
        <v>19</v>
      </c>
      <c r="D292" s="1" t="s">
        <v>47</v>
      </c>
      <c r="E292" s="1" t="s">
        <v>21</v>
      </c>
      <c r="F292" s="1" t="s">
        <v>22</v>
      </c>
      <c r="G292" s="1">
        <v>80</v>
      </c>
      <c r="H292" s="1">
        <v>218.78</v>
      </c>
      <c r="I292" s="1">
        <v>17502.18</v>
      </c>
      <c r="J292" s="1" t="s">
        <v>16</v>
      </c>
      <c r="K292" s="1" t="s">
        <v>17</v>
      </c>
    </row>
    <row r="293" spans="1:11" x14ac:dyDescent="0.35">
      <c r="A293" s="1">
        <v>2292</v>
      </c>
      <c r="B293" s="1" t="s">
        <v>129</v>
      </c>
      <c r="C293" s="1" t="s">
        <v>12</v>
      </c>
      <c r="D293" s="1" t="s">
        <v>28</v>
      </c>
      <c r="E293" s="1" t="s">
        <v>14</v>
      </c>
      <c r="F293" s="1" t="s">
        <v>82</v>
      </c>
      <c r="G293" s="1">
        <v>66</v>
      </c>
      <c r="H293" s="1">
        <v>188.79</v>
      </c>
      <c r="I293" s="1">
        <v>12460.29</v>
      </c>
      <c r="J293" s="1" t="s">
        <v>16</v>
      </c>
      <c r="K293" s="1" t="s">
        <v>25</v>
      </c>
    </row>
    <row r="294" spans="1:11" x14ac:dyDescent="0.35">
      <c r="A294" s="1">
        <v>2293</v>
      </c>
      <c r="B294" s="1" t="s">
        <v>92</v>
      </c>
      <c r="C294" s="1" t="s">
        <v>27</v>
      </c>
      <c r="D294" s="1" t="s">
        <v>13</v>
      </c>
      <c r="E294" s="1" t="s">
        <v>21</v>
      </c>
      <c r="F294" s="1" t="s">
        <v>34</v>
      </c>
      <c r="G294" s="1">
        <v>75</v>
      </c>
      <c r="H294" s="1">
        <v>113.2</v>
      </c>
      <c r="I294" s="1">
        <v>8489.64</v>
      </c>
      <c r="J294" s="1" t="s">
        <v>30</v>
      </c>
      <c r="K294" s="1" t="s">
        <v>23</v>
      </c>
    </row>
    <row r="295" spans="1:11" x14ac:dyDescent="0.35">
      <c r="A295" s="1">
        <v>2294</v>
      </c>
      <c r="B295" s="1" t="s">
        <v>98</v>
      </c>
      <c r="C295" s="1" t="s">
        <v>19</v>
      </c>
      <c r="D295" s="1" t="s">
        <v>13</v>
      </c>
      <c r="E295" s="1" t="s">
        <v>14</v>
      </c>
      <c r="F295" s="1" t="s">
        <v>87</v>
      </c>
      <c r="G295" s="1">
        <v>18</v>
      </c>
      <c r="H295" s="1">
        <v>63.98</v>
      </c>
      <c r="I295" s="1">
        <v>1151.6600000000001</v>
      </c>
      <c r="J295" s="1" t="s">
        <v>30</v>
      </c>
      <c r="K295" s="1" t="s">
        <v>31</v>
      </c>
    </row>
    <row r="296" spans="1:11" x14ac:dyDescent="0.35">
      <c r="A296" s="1">
        <v>2295</v>
      </c>
      <c r="B296" s="1" t="s">
        <v>70</v>
      </c>
      <c r="C296" s="1" t="s">
        <v>27</v>
      </c>
      <c r="D296" s="1" t="s">
        <v>28</v>
      </c>
      <c r="E296" s="1" t="s">
        <v>44</v>
      </c>
      <c r="F296" s="1" t="s">
        <v>65</v>
      </c>
      <c r="G296" s="1">
        <v>40</v>
      </c>
      <c r="H296" s="1">
        <v>3.11</v>
      </c>
      <c r="I296" s="1">
        <v>124.25</v>
      </c>
      <c r="J296" s="1" t="s">
        <v>30</v>
      </c>
      <c r="K296" s="1" t="s">
        <v>25</v>
      </c>
    </row>
    <row r="297" spans="1:11" x14ac:dyDescent="0.35">
      <c r="A297" s="1">
        <v>2296</v>
      </c>
      <c r="B297" s="1" t="s">
        <v>109</v>
      </c>
      <c r="C297" s="1" t="s">
        <v>12</v>
      </c>
      <c r="D297" s="1" t="s">
        <v>28</v>
      </c>
      <c r="E297" s="1" t="s">
        <v>14</v>
      </c>
      <c r="F297" s="1" t="s">
        <v>87</v>
      </c>
      <c r="G297" s="1">
        <v>29</v>
      </c>
      <c r="H297" s="1">
        <v>54.88</v>
      </c>
      <c r="I297" s="1">
        <v>1591.6</v>
      </c>
      <c r="J297" s="1" t="s">
        <v>16</v>
      </c>
      <c r="K297" s="1" t="s">
        <v>17</v>
      </c>
    </row>
    <row r="298" spans="1:11" x14ac:dyDescent="0.35">
      <c r="A298" s="1">
        <v>2297</v>
      </c>
      <c r="B298" s="1" t="s">
        <v>96</v>
      </c>
      <c r="C298" s="1" t="s">
        <v>12</v>
      </c>
      <c r="D298" s="1" t="s">
        <v>40</v>
      </c>
      <c r="E298" s="1" t="s">
        <v>21</v>
      </c>
      <c r="F298" s="1" t="s">
        <v>34</v>
      </c>
      <c r="G298" s="1">
        <v>74</v>
      </c>
      <c r="H298" s="1">
        <v>123.59</v>
      </c>
      <c r="I298" s="1">
        <v>9146.02</v>
      </c>
      <c r="J298" s="1" t="s">
        <v>30</v>
      </c>
      <c r="K298" s="1" t="s">
        <v>31</v>
      </c>
    </row>
    <row r="299" spans="1:11" x14ac:dyDescent="0.35">
      <c r="A299" s="1">
        <v>2298</v>
      </c>
      <c r="B299" s="1" t="s">
        <v>98</v>
      </c>
      <c r="C299" s="1" t="s">
        <v>32</v>
      </c>
      <c r="D299" s="1" t="s">
        <v>28</v>
      </c>
      <c r="E299" s="1" t="s">
        <v>44</v>
      </c>
      <c r="F299" s="1" t="s">
        <v>65</v>
      </c>
      <c r="G299" s="1">
        <v>27</v>
      </c>
      <c r="H299" s="1">
        <v>2.81</v>
      </c>
      <c r="I299" s="1">
        <v>75.930000000000007</v>
      </c>
      <c r="J299" s="1" t="s">
        <v>16</v>
      </c>
      <c r="K299" s="1" t="s">
        <v>17</v>
      </c>
    </row>
    <row r="300" spans="1:11" x14ac:dyDescent="0.35">
      <c r="A300" s="1">
        <v>2299</v>
      </c>
      <c r="B300" s="1" t="s">
        <v>72</v>
      </c>
      <c r="C300" s="1" t="s">
        <v>12</v>
      </c>
      <c r="D300" s="1" t="s">
        <v>33</v>
      </c>
      <c r="E300" s="1" t="s">
        <v>44</v>
      </c>
      <c r="F300" s="1" t="s">
        <v>50</v>
      </c>
      <c r="G300" s="1">
        <v>61</v>
      </c>
      <c r="H300" s="1">
        <v>1.56</v>
      </c>
      <c r="I300" s="1">
        <v>94.9</v>
      </c>
      <c r="J300" s="1" t="s">
        <v>30</v>
      </c>
      <c r="K300" s="1" t="s">
        <v>23</v>
      </c>
    </row>
    <row r="301" spans="1:11" x14ac:dyDescent="0.35">
      <c r="A301" s="1">
        <v>2300</v>
      </c>
      <c r="B301" s="1" t="s">
        <v>56</v>
      </c>
      <c r="C301" s="1" t="s">
        <v>27</v>
      </c>
      <c r="D301" s="1" t="s">
        <v>20</v>
      </c>
      <c r="E301" s="1" t="s">
        <v>21</v>
      </c>
      <c r="F301" s="1" t="s">
        <v>34</v>
      </c>
      <c r="G301" s="1">
        <v>70</v>
      </c>
      <c r="H301" s="1">
        <v>120</v>
      </c>
      <c r="I301" s="1">
        <v>8399.98</v>
      </c>
      <c r="J301" s="1" t="s">
        <v>30</v>
      </c>
      <c r="K301" s="1" t="s">
        <v>23</v>
      </c>
    </row>
  </sheetData>
  <autoFilter ref="A1:K301" xr:uid="{00000000-0001-0000-0000-000000000000}">
    <sortState xmlns:xlrd2="http://schemas.microsoft.com/office/spreadsheetml/2017/richdata2" ref="A2:K301">
      <sortCondition ref="A1:A3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84DE-8D69-4CE0-AA4D-3C9B8FA2C456}">
  <dimension ref="A1:E35"/>
  <sheetViews>
    <sheetView zoomScale="90" zoomScaleNormal="90" workbookViewId="0">
      <selection activeCell="C22" sqref="C22"/>
    </sheetView>
  </sheetViews>
  <sheetFormatPr defaultRowHeight="14.5" x14ac:dyDescent="0.35"/>
  <cols>
    <col min="1" max="1" width="18.1796875" style="1" bestFit="1" customWidth="1"/>
    <col min="2" max="2" width="24.26953125" style="1" bestFit="1" customWidth="1"/>
    <col min="3" max="3" width="12.90625" style="1" bestFit="1" customWidth="1"/>
    <col min="4" max="4" width="17.453125" style="1" bestFit="1" customWidth="1"/>
    <col min="5" max="5" width="13.1796875" style="1" bestFit="1" customWidth="1"/>
    <col min="6" max="6" width="23.90625" style="1" bestFit="1" customWidth="1"/>
    <col min="7" max="16384" width="8.7265625" style="1"/>
  </cols>
  <sheetData>
    <row r="1" spans="1:5" x14ac:dyDescent="0.35">
      <c r="A1" s="8" t="s">
        <v>138</v>
      </c>
      <c r="B1" s="8"/>
    </row>
    <row r="2" spans="1:5" x14ac:dyDescent="0.35">
      <c r="A2" s="9">
        <v>52949.98</v>
      </c>
      <c r="B2" s="9"/>
    </row>
    <row r="3" spans="1:5" x14ac:dyDescent="0.35">
      <c r="A3" s="4"/>
    </row>
    <row r="4" spans="1:5" ht="14.5" customHeight="1" x14ac:dyDescent="0.35">
      <c r="A4" s="10" t="s">
        <v>139</v>
      </c>
      <c r="B4" s="10"/>
      <c r="C4" s="10"/>
    </row>
    <row r="5" spans="1:5" x14ac:dyDescent="0.35">
      <c r="A5" s="11" t="s">
        <v>154</v>
      </c>
      <c r="B5" s="11"/>
      <c r="C5" s="11"/>
    </row>
    <row r="6" spans="1:5" x14ac:dyDescent="0.35">
      <c r="A6" s="18"/>
      <c r="B6" s="18"/>
    </row>
    <row r="7" spans="1:5" x14ac:dyDescent="0.35">
      <c r="A7" s="12" t="s">
        <v>2</v>
      </c>
      <c r="B7" s="13" t="s">
        <v>32</v>
      </c>
    </row>
    <row r="8" spans="1:5" x14ac:dyDescent="0.35">
      <c r="A8" s="15"/>
      <c r="B8" s="15"/>
    </row>
    <row r="9" spans="1:5" x14ac:dyDescent="0.35">
      <c r="A9" s="12" t="s">
        <v>142</v>
      </c>
      <c r="B9" s="13" t="s">
        <v>137</v>
      </c>
    </row>
    <row r="10" spans="1:5" x14ac:dyDescent="0.35">
      <c r="A10" s="14" t="s">
        <v>14</v>
      </c>
      <c r="B10" s="39">
        <v>33</v>
      </c>
    </row>
    <row r="11" spans="1:5" x14ac:dyDescent="0.35">
      <c r="A11" s="14" t="s">
        <v>21</v>
      </c>
      <c r="B11" s="39">
        <v>25</v>
      </c>
    </row>
    <row r="12" spans="1:5" x14ac:dyDescent="0.35">
      <c r="A12" s="14" t="s">
        <v>44</v>
      </c>
      <c r="B12" s="39">
        <v>22</v>
      </c>
      <c r="C12" s="2"/>
    </row>
    <row r="13" spans="1:5" x14ac:dyDescent="0.35">
      <c r="A13" s="14" t="s">
        <v>136</v>
      </c>
      <c r="B13" s="39">
        <v>80</v>
      </c>
    </row>
    <row r="14" spans="1:5" x14ac:dyDescent="0.35">
      <c r="A14" s="2"/>
    </row>
    <row r="15" spans="1:5" x14ac:dyDescent="0.35">
      <c r="A15" s="8" t="s">
        <v>140</v>
      </c>
      <c r="B15" s="8"/>
      <c r="C15" s="8"/>
      <c r="D15"/>
      <c r="E15"/>
    </row>
    <row r="16" spans="1:5" ht="14.5" customHeight="1" x14ac:dyDescent="0.35">
      <c r="A16" s="34" t="s">
        <v>179</v>
      </c>
      <c r="B16" s="35"/>
      <c r="C16" s="36"/>
      <c r="D16"/>
      <c r="E16"/>
    </row>
    <row r="17" spans="1:5" x14ac:dyDescent="0.35">
      <c r="A17" s="18"/>
      <c r="B17" s="18"/>
      <c r="C17" s="18"/>
      <c r="D17"/>
      <c r="E17"/>
    </row>
    <row r="18" spans="1:5" x14ac:dyDescent="0.35">
      <c r="A18" s="20" t="s">
        <v>2</v>
      </c>
      <c r="B18" s="21" t="s">
        <v>32</v>
      </c>
      <c r="E18"/>
    </row>
    <row r="19" spans="1:5" x14ac:dyDescent="0.35">
      <c r="A19" s="15"/>
      <c r="B19" s="15"/>
      <c r="E19"/>
    </row>
    <row r="20" spans="1:5" x14ac:dyDescent="0.35">
      <c r="A20" s="20" t="s">
        <v>3</v>
      </c>
      <c r="B20" s="21" t="s">
        <v>153</v>
      </c>
      <c r="E20"/>
    </row>
    <row r="21" spans="1:5" x14ac:dyDescent="0.35">
      <c r="A21" s="22" t="s">
        <v>13</v>
      </c>
      <c r="B21" s="23">
        <v>13</v>
      </c>
      <c r="E21"/>
    </row>
    <row r="22" spans="1:5" x14ac:dyDescent="0.35">
      <c r="A22" s="22" t="s">
        <v>47</v>
      </c>
      <c r="B22" s="23">
        <v>13</v>
      </c>
      <c r="E22"/>
    </row>
    <row r="23" spans="1:5" x14ac:dyDescent="0.35">
      <c r="A23" s="22" t="s">
        <v>33</v>
      </c>
      <c r="B23" s="23">
        <v>12</v>
      </c>
      <c r="E23"/>
    </row>
    <row r="24" spans="1:5" x14ac:dyDescent="0.35">
      <c r="A24" s="22" t="s">
        <v>40</v>
      </c>
      <c r="B24" s="23">
        <v>12</v>
      </c>
      <c r="E24"/>
    </row>
    <row r="25" spans="1:5" x14ac:dyDescent="0.35">
      <c r="A25" s="22" t="s">
        <v>36</v>
      </c>
      <c r="B25" s="23">
        <v>11</v>
      </c>
      <c r="E25"/>
    </row>
    <row r="26" spans="1:5" x14ac:dyDescent="0.35">
      <c r="A26" s="22" t="s">
        <v>20</v>
      </c>
      <c r="B26" s="23">
        <v>8</v>
      </c>
      <c r="E26"/>
    </row>
    <row r="27" spans="1:5" x14ac:dyDescent="0.35">
      <c r="A27" s="22" t="s">
        <v>28</v>
      </c>
      <c r="B27" s="23">
        <v>6</v>
      </c>
      <c r="E27"/>
    </row>
    <row r="28" spans="1:5" x14ac:dyDescent="0.35">
      <c r="A28" s="22" t="s">
        <v>58</v>
      </c>
      <c r="B28" s="23">
        <v>5</v>
      </c>
      <c r="C28" s="6"/>
      <c r="D28" s="7"/>
      <c r="E28"/>
    </row>
    <row r="29" spans="1:5" x14ac:dyDescent="0.35">
      <c r="A29" s="22" t="s">
        <v>136</v>
      </c>
      <c r="B29" s="23">
        <v>80</v>
      </c>
      <c r="C29" s="6"/>
      <c r="D29" s="7"/>
      <c r="E29"/>
    </row>
    <row r="30" spans="1:5" x14ac:dyDescent="0.35">
      <c r="A30" s="6"/>
      <c r="B30" s="7"/>
      <c r="C30" s="6"/>
      <c r="D30" s="7"/>
      <c r="E30"/>
    </row>
    <row r="31" spans="1:5" x14ac:dyDescent="0.35">
      <c r="C31"/>
      <c r="D31"/>
      <c r="E31"/>
    </row>
    <row r="32" spans="1:5" x14ac:dyDescent="0.35">
      <c r="C32"/>
      <c r="D32"/>
      <c r="E32"/>
    </row>
    <row r="33" spans="3:5" x14ac:dyDescent="0.35">
      <c r="C33"/>
      <c r="D33"/>
      <c r="E33"/>
    </row>
    <row r="34" spans="3:5" x14ac:dyDescent="0.35">
      <c r="C34"/>
      <c r="D34"/>
      <c r="E34"/>
    </row>
    <row r="35" spans="3:5" x14ac:dyDescent="0.35">
      <c r="C35"/>
      <c r="D35"/>
      <c r="E35"/>
    </row>
  </sheetData>
  <mergeCells count="8">
    <mergeCell ref="A15:C15"/>
    <mergeCell ref="A4:C4"/>
    <mergeCell ref="A5:C5"/>
    <mergeCell ref="A16:C16"/>
    <mergeCell ref="A1:B1"/>
    <mergeCell ref="A2:B2"/>
    <mergeCell ref="A8:B8"/>
    <mergeCell ref="A19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2197-89A2-41EC-955F-13A1D2350754}">
  <dimension ref="A1:E35"/>
  <sheetViews>
    <sheetView zoomScale="90" zoomScaleNormal="90" workbookViewId="0">
      <selection activeCell="A16" sqref="A16:C16"/>
    </sheetView>
  </sheetViews>
  <sheetFormatPr defaultRowHeight="14.5" x14ac:dyDescent="0.35"/>
  <cols>
    <col min="1" max="1" width="24.7265625" style="1" customWidth="1"/>
    <col min="2" max="2" width="24.26953125" style="1" bestFit="1" customWidth="1"/>
    <col min="3" max="3" width="12.90625" style="1" bestFit="1" customWidth="1"/>
    <col min="4" max="4" width="17.453125" style="1" bestFit="1" customWidth="1"/>
    <col min="5" max="5" width="13.1796875" style="1" bestFit="1" customWidth="1"/>
    <col min="6" max="6" width="23.90625" style="1" bestFit="1" customWidth="1"/>
    <col min="7" max="16384" width="8.7265625" style="1"/>
  </cols>
  <sheetData>
    <row r="1" spans="1:5" x14ac:dyDescent="0.35">
      <c r="A1" s="8" t="s">
        <v>174</v>
      </c>
      <c r="B1" s="8"/>
      <c r="C1" s="8"/>
    </row>
    <row r="2" spans="1:5" x14ac:dyDescent="0.35">
      <c r="A2" s="9">
        <v>50623.56</v>
      </c>
      <c r="B2" s="9"/>
      <c r="C2" s="9"/>
    </row>
    <row r="3" spans="1:5" x14ac:dyDescent="0.35">
      <c r="A3" s="4"/>
    </row>
    <row r="4" spans="1:5" ht="14.5" customHeight="1" x14ac:dyDescent="0.35">
      <c r="A4" s="10" t="s">
        <v>139</v>
      </c>
      <c r="B4" s="10"/>
      <c r="C4" s="10"/>
    </row>
    <row r="5" spans="1:5" x14ac:dyDescent="0.35">
      <c r="A5" s="11" t="s">
        <v>173</v>
      </c>
      <c r="B5" s="11"/>
      <c r="C5" s="11"/>
    </row>
    <row r="6" spans="1:5" x14ac:dyDescent="0.35">
      <c r="A6" s="18"/>
      <c r="B6" s="18"/>
    </row>
    <row r="7" spans="1:5" x14ac:dyDescent="0.35">
      <c r="A7" s="12" t="s">
        <v>2</v>
      </c>
      <c r="B7" s="13" t="s">
        <v>19</v>
      </c>
    </row>
    <row r="8" spans="1:5" x14ac:dyDescent="0.35">
      <c r="A8" s="15"/>
      <c r="B8" s="15"/>
    </row>
    <row r="9" spans="1:5" x14ac:dyDescent="0.35">
      <c r="A9" s="12" t="s">
        <v>142</v>
      </c>
      <c r="B9" s="13" t="s">
        <v>137</v>
      </c>
    </row>
    <row r="10" spans="1:5" x14ac:dyDescent="0.35">
      <c r="A10" s="14" t="s">
        <v>21</v>
      </c>
      <c r="B10" s="39">
        <v>26</v>
      </c>
    </row>
    <row r="11" spans="1:5" x14ac:dyDescent="0.35">
      <c r="A11" s="14" t="s">
        <v>44</v>
      </c>
      <c r="B11" s="39">
        <v>24</v>
      </c>
    </row>
    <row r="12" spans="1:5" x14ac:dyDescent="0.35">
      <c r="A12" s="14" t="s">
        <v>14</v>
      </c>
      <c r="B12" s="39">
        <v>19</v>
      </c>
      <c r="C12" s="2"/>
    </row>
    <row r="13" spans="1:5" x14ac:dyDescent="0.35">
      <c r="A13" s="14" t="s">
        <v>136</v>
      </c>
      <c r="B13" s="39">
        <v>69</v>
      </c>
    </row>
    <row r="14" spans="1:5" x14ac:dyDescent="0.35">
      <c r="A14" s="2"/>
    </row>
    <row r="15" spans="1:5" x14ac:dyDescent="0.35">
      <c r="A15" s="8" t="s">
        <v>140</v>
      </c>
      <c r="B15" s="8"/>
      <c r="C15" s="8"/>
      <c r="D15"/>
      <c r="E15"/>
    </row>
    <row r="16" spans="1:5" ht="14.5" customHeight="1" x14ac:dyDescent="0.35">
      <c r="A16" s="34" t="s">
        <v>178</v>
      </c>
      <c r="B16" s="35"/>
      <c r="C16" s="36"/>
      <c r="D16"/>
      <c r="E16"/>
    </row>
    <row r="17" spans="1:5" x14ac:dyDescent="0.35">
      <c r="A17" s="18"/>
      <c r="B17" s="18"/>
      <c r="C17" s="18"/>
      <c r="D17"/>
      <c r="E17"/>
    </row>
    <row r="18" spans="1:5" x14ac:dyDescent="0.35">
      <c r="A18" s="20" t="s">
        <v>2</v>
      </c>
      <c r="B18" s="21" t="s">
        <v>19</v>
      </c>
      <c r="E18"/>
    </row>
    <row r="19" spans="1:5" x14ac:dyDescent="0.35">
      <c r="A19" s="15"/>
      <c r="B19" s="15"/>
      <c r="E19"/>
    </row>
    <row r="20" spans="1:5" x14ac:dyDescent="0.35">
      <c r="A20" s="20" t="s">
        <v>3</v>
      </c>
      <c r="B20" s="21" t="s">
        <v>153</v>
      </c>
      <c r="E20"/>
    </row>
    <row r="21" spans="1:5" x14ac:dyDescent="0.35">
      <c r="A21" s="22" t="s">
        <v>20</v>
      </c>
      <c r="B21" s="23">
        <v>13</v>
      </c>
      <c r="E21"/>
    </row>
    <row r="22" spans="1:5" x14ac:dyDescent="0.35">
      <c r="A22" s="22" t="s">
        <v>33</v>
      </c>
      <c r="B22" s="23">
        <v>10</v>
      </c>
      <c r="E22"/>
    </row>
    <row r="23" spans="1:5" x14ac:dyDescent="0.35">
      <c r="A23" s="22" t="s">
        <v>36</v>
      </c>
      <c r="B23" s="23">
        <v>9</v>
      </c>
      <c r="E23"/>
    </row>
    <row r="24" spans="1:5" x14ac:dyDescent="0.35">
      <c r="A24" s="22" t="s">
        <v>58</v>
      </c>
      <c r="B24" s="23">
        <v>9</v>
      </c>
      <c r="E24"/>
    </row>
    <row r="25" spans="1:5" x14ac:dyDescent="0.35">
      <c r="A25" s="22" t="s">
        <v>40</v>
      </c>
      <c r="B25" s="23">
        <v>8</v>
      </c>
      <c r="E25"/>
    </row>
    <row r="26" spans="1:5" x14ac:dyDescent="0.35">
      <c r="A26" s="22" t="s">
        <v>13</v>
      </c>
      <c r="B26" s="23">
        <v>8</v>
      </c>
      <c r="E26"/>
    </row>
    <row r="27" spans="1:5" x14ac:dyDescent="0.35">
      <c r="A27" s="22" t="s">
        <v>47</v>
      </c>
      <c r="B27" s="23">
        <v>7</v>
      </c>
      <c r="E27"/>
    </row>
    <row r="28" spans="1:5" x14ac:dyDescent="0.35">
      <c r="A28" s="22" t="s">
        <v>28</v>
      </c>
      <c r="B28" s="23">
        <v>5</v>
      </c>
      <c r="C28" s="6"/>
      <c r="D28" s="7"/>
      <c r="E28"/>
    </row>
    <row r="29" spans="1:5" x14ac:dyDescent="0.35">
      <c r="A29" s="22" t="s">
        <v>136</v>
      </c>
      <c r="B29" s="23">
        <v>69</v>
      </c>
      <c r="C29" s="6"/>
      <c r="D29" s="7"/>
      <c r="E29"/>
    </row>
    <row r="30" spans="1:5" x14ac:dyDescent="0.35">
      <c r="A30" s="6"/>
      <c r="B30" s="7"/>
      <c r="C30" s="6"/>
      <c r="D30" s="7"/>
      <c r="E30"/>
    </row>
    <row r="31" spans="1:5" x14ac:dyDescent="0.35">
      <c r="C31"/>
      <c r="D31"/>
      <c r="E31"/>
    </row>
    <row r="32" spans="1:5" x14ac:dyDescent="0.35">
      <c r="C32"/>
      <c r="D32"/>
      <c r="E32"/>
    </row>
    <row r="33" spans="3:5" x14ac:dyDescent="0.35">
      <c r="C33"/>
      <c r="D33"/>
      <c r="E33"/>
    </row>
    <row r="34" spans="3:5" x14ac:dyDescent="0.35">
      <c r="C34"/>
      <c r="D34"/>
      <c r="E34"/>
    </row>
    <row r="35" spans="3:5" x14ac:dyDescent="0.35">
      <c r="C35"/>
      <c r="D35"/>
      <c r="E35"/>
    </row>
  </sheetData>
  <mergeCells count="8">
    <mergeCell ref="A16:C16"/>
    <mergeCell ref="A19:B19"/>
    <mergeCell ref="A1:C1"/>
    <mergeCell ref="A2:C2"/>
    <mergeCell ref="A4:C4"/>
    <mergeCell ref="A5:C5"/>
    <mergeCell ref="A8:B8"/>
    <mergeCell ref="A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F66F-AB41-43A6-9183-EE6A7AAC523A}">
  <dimension ref="A1:E35"/>
  <sheetViews>
    <sheetView zoomScale="90" zoomScaleNormal="90" workbookViewId="0">
      <selection activeCell="C10" sqref="C10"/>
    </sheetView>
  </sheetViews>
  <sheetFormatPr defaultRowHeight="14.5" x14ac:dyDescent="0.35"/>
  <cols>
    <col min="1" max="1" width="20.54296875" style="1" customWidth="1"/>
    <col min="2" max="2" width="24.26953125" style="1" bestFit="1" customWidth="1"/>
    <col min="3" max="3" width="12.90625" style="1" bestFit="1" customWidth="1"/>
    <col min="4" max="4" width="17.453125" style="1" bestFit="1" customWidth="1"/>
    <col min="5" max="5" width="13.1796875" style="1" bestFit="1" customWidth="1"/>
    <col min="6" max="6" width="23.90625" style="1" bestFit="1" customWidth="1"/>
    <col min="7" max="16384" width="8.7265625" style="1"/>
  </cols>
  <sheetData>
    <row r="1" spans="1:5" x14ac:dyDescent="0.35">
      <c r="A1" s="8" t="s">
        <v>175</v>
      </c>
      <c r="B1" s="8"/>
      <c r="C1" s="8"/>
    </row>
    <row r="2" spans="1:5" x14ac:dyDescent="0.35">
      <c r="A2" s="9">
        <v>75929.67</v>
      </c>
      <c r="B2" s="9"/>
      <c r="C2" s="9"/>
    </row>
    <row r="3" spans="1:5" x14ac:dyDescent="0.35">
      <c r="A3" s="4"/>
    </row>
    <row r="4" spans="1:5" ht="14.5" customHeight="1" x14ac:dyDescent="0.35">
      <c r="A4" s="10" t="s">
        <v>139</v>
      </c>
      <c r="B4" s="10"/>
      <c r="C4" s="10"/>
    </row>
    <row r="5" spans="1:5" x14ac:dyDescent="0.35">
      <c r="A5" s="11" t="s">
        <v>176</v>
      </c>
      <c r="B5" s="11"/>
      <c r="C5" s="11"/>
    </row>
    <row r="6" spans="1:5" x14ac:dyDescent="0.35">
      <c r="A6" s="18"/>
      <c r="B6" s="18"/>
    </row>
    <row r="7" spans="1:5" x14ac:dyDescent="0.35">
      <c r="A7" s="12" t="s">
        <v>2</v>
      </c>
      <c r="B7" s="13" t="s">
        <v>12</v>
      </c>
    </row>
    <row r="8" spans="1:5" x14ac:dyDescent="0.35">
      <c r="A8" s="15"/>
      <c r="B8" s="15"/>
    </row>
    <row r="9" spans="1:5" x14ac:dyDescent="0.35">
      <c r="A9" s="12" t="s">
        <v>142</v>
      </c>
      <c r="B9" s="13" t="s">
        <v>137</v>
      </c>
    </row>
    <row r="10" spans="1:5" x14ac:dyDescent="0.35">
      <c r="A10" s="14" t="s">
        <v>44</v>
      </c>
      <c r="B10" s="39">
        <v>32</v>
      </c>
    </row>
    <row r="11" spans="1:5" x14ac:dyDescent="0.35">
      <c r="A11" s="14" t="s">
        <v>14</v>
      </c>
      <c r="B11" s="39">
        <v>22</v>
      </c>
    </row>
    <row r="12" spans="1:5" x14ac:dyDescent="0.35">
      <c r="A12" s="14" t="s">
        <v>21</v>
      </c>
      <c r="B12" s="39">
        <v>18</v>
      </c>
      <c r="C12" s="2"/>
    </row>
    <row r="13" spans="1:5" x14ac:dyDescent="0.35">
      <c r="A13" s="14" t="s">
        <v>136</v>
      </c>
      <c r="B13" s="39">
        <v>72</v>
      </c>
    </row>
    <row r="14" spans="1:5" x14ac:dyDescent="0.35">
      <c r="A14" s="2"/>
    </row>
    <row r="15" spans="1:5" x14ac:dyDescent="0.35">
      <c r="A15" s="8" t="s">
        <v>140</v>
      </c>
      <c r="B15" s="8"/>
      <c r="C15" s="8"/>
      <c r="D15"/>
      <c r="E15"/>
    </row>
    <row r="16" spans="1:5" ht="14.5" customHeight="1" x14ac:dyDescent="0.35">
      <c r="A16" s="34" t="s">
        <v>177</v>
      </c>
      <c r="B16" s="35"/>
      <c r="C16" s="36"/>
      <c r="D16"/>
      <c r="E16"/>
    </row>
    <row r="17" spans="1:5" x14ac:dyDescent="0.35">
      <c r="A17" s="18"/>
      <c r="B17" s="18"/>
      <c r="C17" s="18"/>
      <c r="D17"/>
      <c r="E17"/>
    </row>
    <row r="18" spans="1:5" x14ac:dyDescent="0.35">
      <c r="A18" s="20" t="s">
        <v>2</v>
      </c>
      <c r="B18" s="21" t="s">
        <v>12</v>
      </c>
      <c r="E18"/>
    </row>
    <row r="19" spans="1:5" x14ac:dyDescent="0.35">
      <c r="A19" s="15"/>
      <c r="B19" s="15"/>
      <c r="E19"/>
    </row>
    <row r="20" spans="1:5" x14ac:dyDescent="0.35">
      <c r="A20" s="20" t="s">
        <v>3</v>
      </c>
      <c r="B20" s="21" t="s">
        <v>153</v>
      </c>
      <c r="E20"/>
    </row>
    <row r="21" spans="1:5" x14ac:dyDescent="0.35">
      <c r="A21" s="22" t="s">
        <v>58</v>
      </c>
      <c r="B21" s="23">
        <v>13</v>
      </c>
      <c r="E21"/>
    </row>
    <row r="22" spans="1:5" x14ac:dyDescent="0.35">
      <c r="A22" s="22" t="s">
        <v>20</v>
      </c>
      <c r="B22" s="23">
        <v>12</v>
      </c>
      <c r="E22"/>
    </row>
    <row r="23" spans="1:5" x14ac:dyDescent="0.35">
      <c r="A23" s="22" t="s">
        <v>33</v>
      </c>
      <c r="B23" s="23">
        <v>10</v>
      </c>
      <c r="E23"/>
    </row>
    <row r="24" spans="1:5" x14ac:dyDescent="0.35">
      <c r="A24" s="22" t="s">
        <v>36</v>
      </c>
      <c r="B24" s="23">
        <v>9</v>
      </c>
      <c r="E24"/>
    </row>
    <row r="25" spans="1:5" x14ac:dyDescent="0.35">
      <c r="A25" s="22" t="s">
        <v>28</v>
      </c>
      <c r="B25" s="23">
        <v>9</v>
      </c>
      <c r="E25"/>
    </row>
    <row r="26" spans="1:5" x14ac:dyDescent="0.35">
      <c r="A26" s="22" t="s">
        <v>40</v>
      </c>
      <c r="B26" s="23">
        <v>9</v>
      </c>
      <c r="E26"/>
    </row>
    <row r="27" spans="1:5" x14ac:dyDescent="0.35">
      <c r="A27" s="22" t="s">
        <v>13</v>
      </c>
      <c r="B27" s="23">
        <v>9</v>
      </c>
      <c r="E27"/>
    </row>
    <row r="28" spans="1:5" x14ac:dyDescent="0.35">
      <c r="A28" s="22" t="s">
        <v>47</v>
      </c>
      <c r="B28" s="23">
        <v>1</v>
      </c>
      <c r="C28" s="6"/>
      <c r="D28" s="7"/>
      <c r="E28"/>
    </row>
    <row r="29" spans="1:5" x14ac:dyDescent="0.35">
      <c r="A29" s="22" t="s">
        <v>136</v>
      </c>
      <c r="B29" s="23">
        <v>72</v>
      </c>
      <c r="C29" s="6"/>
      <c r="D29" s="7"/>
      <c r="E29"/>
    </row>
    <row r="30" spans="1:5" x14ac:dyDescent="0.35">
      <c r="A30" s="6"/>
      <c r="B30" s="7"/>
      <c r="C30" s="6"/>
      <c r="D30" s="7"/>
      <c r="E30"/>
    </row>
    <row r="31" spans="1:5" x14ac:dyDescent="0.35">
      <c r="C31"/>
      <c r="D31"/>
      <c r="E31"/>
    </row>
    <row r="32" spans="1:5" x14ac:dyDescent="0.35">
      <c r="C32"/>
      <c r="D32"/>
      <c r="E32"/>
    </row>
    <row r="33" spans="3:5" x14ac:dyDescent="0.35">
      <c r="C33"/>
      <c r="D33"/>
      <c r="E33"/>
    </row>
    <row r="34" spans="3:5" x14ac:dyDescent="0.35">
      <c r="C34"/>
      <c r="D34"/>
      <c r="E34"/>
    </row>
    <row r="35" spans="3:5" x14ac:dyDescent="0.35">
      <c r="C35"/>
      <c r="D35"/>
      <c r="E35"/>
    </row>
  </sheetData>
  <mergeCells count="8">
    <mergeCell ref="A16:C16"/>
    <mergeCell ref="A19:B19"/>
    <mergeCell ref="A1:C1"/>
    <mergeCell ref="A2:C2"/>
    <mergeCell ref="A4:C4"/>
    <mergeCell ref="A5:C5"/>
    <mergeCell ref="A8:B8"/>
    <mergeCell ref="A15:C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FA75-F3D9-44A7-BACA-FD714481FE6F}">
  <dimension ref="A1:E35"/>
  <sheetViews>
    <sheetView zoomScale="90" zoomScaleNormal="90" workbookViewId="0">
      <selection activeCell="C9" sqref="C9"/>
    </sheetView>
  </sheetViews>
  <sheetFormatPr defaultRowHeight="14.5" x14ac:dyDescent="0.35"/>
  <cols>
    <col min="1" max="1" width="18.36328125" style="1" customWidth="1"/>
    <col min="2" max="2" width="24.26953125" style="1" bestFit="1" customWidth="1"/>
    <col min="3" max="3" width="12.90625" style="1" bestFit="1" customWidth="1"/>
    <col min="4" max="4" width="17.453125" style="1" bestFit="1" customWidth="1"/>
    <col min="5" max="5" width="13.1796875" style="1" bestFit="1" customWidth="1"/>
    <col min="6" max="6" width="23.90625" style="1" bestFit="1" customWidth="1"/>
    <col min="7" max="16384" width="8.7265625" style="1"/>
  </cols>
  <sheetData>
    <row r="1" spans="1:5" x14ac:dyDescent="0.35">
      <c r="A1" s="8" t="s">
        <v>181</v>
      </c>
      <c r="B1" s="8"/>
      <c r="C1" s="8"/>
    </row>
    <row r="2" spans="1:5" x14ac:dyDescent="0.35">
      <c r="A2" s="9">
        <v>63169.4</v>
      </c>
      <c r="B2" s="9"/>
      <c r="C2" s="9"/>
    </row>
    <row r="3" spans="1:5" x14ac:dyDescent="0.35">
      <c r="A3" s="4"/>
    </row>
    <row r="4" spans="1:5" ht="14.5" customHeight="1" x14ac:dyDescent="0.35">
      <c r="A4" s="10" t="s">
        <v>139</v>
      </c>
      <c r="B4" s="10"/>
      <c r="C4" s="10"/>
    </row>
    <row r="5" spans="1:5" x14ac:dyDescent="0.35">
      <c r="A5" s="11" t="s">
        <v>173</v>
      </c>
      <c r="B5" s="11"/>
      <c r="C5" s="11"/>
    </row>
    <row r="6" spans="1:5" x14ac:dyDescent="0.35">
      <c r="A6" s="18"/>
      <c r="B6" s="18"/>
    </row>
    <row r="7" spans="1:5" x14ac:dyDescent="0.35">
      <c r="A7" s="12" t="s">
        <v>2</v>
      </c>
      <c r="B7" s="13" t="s">
        <v>27</v>
      </c>
    </row>
    <row r="8" spans="1:5" x14ac:dyDescent="0.35">
      <c r="A8" s="15"/>
      <c r="B8" s="15"/>
    </row>
    <row r="9" spans="1:5" x14ac:dyDescent="0.35">
      <c r="A9" s="12" t="s">
        <v>142</v>
      </c>
      <c r="B9" s="13" t="s">
        <v>137</v>
      </c>
    </row>
    <row r="10" spans="1:5" x14ac:dyDescent="0.35">
      <c r="A10" s="14" t="s">
        <v>21</v>
      </c>
      <c r="B10" s="39">
        <v>31</v>
      </c>
    </row>
    <row r="11" spans="1:5" x14ac:dyDescent="0.35">
      <c r="A11" s="14" t="s">
        <v>44</v>
      </c>
      <c r="B11" s="39">
        <v>26</v>
      </c>
    </row>
    <row r="12" spans="1:5" x14ac:dyDescent="0.35">
      <c r="A12" s="14" t="s">
        <v>14</v>
      </c>
      <c r="B12" s="39">
        <v>22</v>
      </c>
      <c r="C12" s="2"/>
    </row>
    <row r="13" spans="1:5" x14ac:dyDescent="0.35">
      <c r="A13" s="14" t="s">
        <v>136</v>
      </c>
      <c r="B13" s="39">
        <v>79</v>
      </c>
    </row>
    <row r="14" spans="1:5" x14ac:dyDescent="0.35">
      <c r="A14" s="2"/>
    </row>
    <row r="15" spans="1:5" x14ac:dyDescent="0.35">
      <c r="A15" s="8" t="s">
        <v>140</v>
      </c>
      <c r="B15" s="8"/>
      <c r="C15" s="8"/>
      <c r="D15"/>
      <c r="E15"/>
    </row>
    <row r="16" spans="1:5" ht="14.5" customHeight="1" x14ac:dyDescent="0.35">
      <c r="A16" s="34" t="s">
        <v>180</v>
      </c>
      <c r="B16" s="35"/>
      <c r="C16" s="36"/>
      <c r="D16"/>
      <c r="E16"/>
    </row>
    <row r="17" spans="1:5" x14ac:dyDescent="0.35">
      <c r="A17" s="18"/>
      <c r="B17" s="18"/>
      <c r="C17" s="18"/>
      <c r="D17"/>
      <c r="E17"/>
    </row>
    <row r="18" spans="1:5" x14ac:dyDescent="0.35">
      <c r="A18" s="20" t="s">
        <v>2</v>
      </c>
      <c r="B18" s="21" t="s">
        <v>27</v>
      </c>
      <c r="E18"/>
    </row>
    <row r="19" spans="1:5" x14ac:dyDescent="0.35">
      <c r="A19" s="15"/>
      <c r="B19" s="15"/>
      <c r="E19"/>
    </row>
    <row r="20" spans="1:5" x14ac:dyDescent="0.35">
      <c r="A20" s="20" t="s">
        <v>3</v>
      </c>
      <c r="B20" s="21" t="s">
        <v>153</v>
      </c>
      <c r="E20"/>
    </row>
    <row r="21" spans="1:5" x14ac:dyDescent="0.35">
      <c r="A21" s="22" t="s">
        <v>13</v>
      </c>
      <c r="B21" s="23">
        <v>15</v>
      </c>
      <c r="E21"/>
    </row>
    <row r="22" spans="1:5" x14ac:dyDescent="0.35">
      <c r="A22" s="22" t="s">
        <v>47</v>
      </c>
      <c r="B22" s="23">
        <v>11</v>
      </c>
      <c r="E22"/>
    </row>
    <row r="23" spans="1:5" x14ac:dyDescent="0.35">
      <c r="A23" s="22" t="s">
        <v>28</v>
      </c>
      <c r="B23" s="23">
        <v>10</v>
      </c>
      <c r="E23"/>
    </row>
    <row r="24" spans="1:5" x14ac:dyDescent="0.35">
      <c r="A24" s="22" t="s">
        <v>20</v>
      </c>
      <c r="B24" s="23">
        <v>10</v>
      </c>
      <c r="E24"/>
    </row>
    <row r="25" spans="1:5" x14ac:dyDescent="0.35">
      <c r="A25" s="22" t="s">
        <v>58</v>
      </c>
      <c r="B25" s="23">
        <v>9</v>
      </c>
      <c r="E25"/>
    </row>
    <row r="26" spans="1:5" x14ac:dyDescent="0.35">
      <c r="A26" s="22" t="s">
        <v>33</v>
      </c>
      <c r="B26" s="23">
        <v>9</v>
      </c>
      <c r="E26"/>
    </row>
    <row r="27" spans="1:5" x14ac:dyDescent="0.35">
      <c r="A27" s="22" t="s">
        <v>40</v>
      </c>
      <c r="B27" s="23">
        <v>9</v>
      </c>
      <c r="E27"/>
    </row>
    <row r="28" spans="1:5" x14ac:dyDescent="0.35">
      <c r="A28" s="22" t="s">
        <v>36</v>
      </c>
      <c r="B28" s="23">
        <v>6</v>
      </c>
      <c r="C28" s="6"/>
      <c r="D28" s="7"/>
      <c r="E28"/>
    </row>
    <row r="29" spans="1:5" x14ac:dyDescent="0.35">
      <c r="A29" s="22" t="s">
        <v>136</v>
      </c>
      <c r="B29" s="23">
        <v>79</v>
      </c>
      <c r="C29" s="6"/>
      <c r="D29" s="7"/>
      <c r="E29"/>
    </row>
    <row r="30" spans="1:5" x14ac:dyDescent="0.35">
      <c r="A30" s="6"/>
      <c r="B30" s="7"/>
      <c r="C30" s="6"/>
      <c r="D30" s="7"/>
      <c r="E30"/>
    </row>
    <row r="31" spans="1:5" x14ac:dyDescent="0.35">
      <c r="C31"/>
      <c r="D31"/>
      <c r="E31"/>
    </row>
    <row r="32" spans="1:5" x14ac:dyDescent="0.35">
      <c r="C32"/>
      <c r="D32"/>
      <c r="E32"/>
    </row>
    <row r="33" spans="3:5" x14ac:dyDescent="0.35">
      <c r="C33"/>
      <c r="D33"/>
      <c r="E33"/>
    </row>
    <row r="34" spans="3:5" x14ac:dyDescent="0.35">
      <c r="C34"/>
      <c r="D34"/>
      <c r="E34"/>
    </row>
    <row r="35" spans="3:5" x14ac:dyDescent="0.35">
      <c r="C35"/>
      <c r="D35"/>
      <c r="E35"/>
    </row>
  </sheetData>
  <mergeCells count="8">
    <mergeCell ref="A16:C16"/>
    <mergeCell ref="A19:B19"/>
    <mergeCell ref="A1:C1"/>
    <mergeCell ref="A2:C2"/>
    <mergeCell ref="A4:C4"/>
    <mergeCell ref="A5:C5"/>
    <mergeCell ref="A8:B8"/>
    <mergeCell ref="A15:C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15F1-3D04-459C-9651-2F07B349751D}">
  <dimension ref="A1:E181"/>
  <sheetViews>
    <sheetView zoomScale="90" zoomScaleNormal="90" workbookViewId="0">
      <selection sqref="A1:D1"/>
    </sheetView>
  </sheetViews>
  <sheetFormatPr defaultRowHeight="14.5" x14ac:dyDescent="0.35"/>
  <cols>
    <col min="1" max="1" width="25.08984375" style="3" customWidth="1"/>
    <col min="2" max="2" width="24.26953125" bestFit="1" customWidth="1"/>
    <col min="3" max="3" width="14" bestFit="1" customWidth="1"/>
    <col min="4" max="4" width="14.26953125" bestFit="1" customWidth="1"/>
    <col min="5" max="5" width="17.453125" bestFit="1" customWidth="1"/>
  </cols>
  <sheetData>
    <row r="1" spans="1:4" x14ac:dyDescent="0.35">
      <c r="A1" s="19" t="s">
        <v>141</v>
      </c>
      <c r="B1" s="19"/>
      <c r="C1" s="19"/>
      <c r="D1" s="19"/>
    </row>
    <row r="2" spans="1:4" x14ac:dyDescent="0.35">
      <c r="A2" s="19" t="s">
        <v>143</v>
      </c>
      <c r="B2" s="19"/>
      <c r="C2" s="19"/>
      <c r="D2" s="19"/>
    </row>
    <row r="3" spans="1:4" x14ac:dyDescent="0.35">
      <c r="A3" s="17"/>
      <c r="B3" s="17"/>
      <c r="C3" s="17"/>
      <c r="D3" s="17"/>
    </row>
    <row r="4" spans="1:4" x14ac:dyDescent="0.35">
      <c r="A4" s="20" t="s">
        <v>9</v>
      </c>
      <c r="B4" s="21" t="s">
        <v>30</v>
      </c>
    </row>
    <row r="5" spans="1:4" x14ac:dyDescent="0.35">
      <c r="A5" s="25"/>
      <c r="B5" s="26"/>
    </row>
    <row r="6" spans="1:4" x14ac:dyDescent="0.35">
      <c r="A6" s="20" t="s">
        <v>142</v>
      </c>
      <c r="B6" s="21" t="s">
        <v>137</v>
      </c>
    </row>
    <row r="7" spans="1:4" x14ac:dyDescent="0.35">
      <c r="A7" s="22" t="s">
        <v>44</v>
      </c>
      <c r="B7" s="23">
        <v>60</v>
      </c>
    </row>
    <row r="8" spans="1:4" x14ac:dyDescent="0.35">
      <c r="A8" s="22" t="s">
        <v>21</v>
      </c>
      <c r="B8" s="23">
        <v>51</v>
      </c>
    </row>
    <row r="9" spans="1:4" x14ac:dyDescent="0.35">
      <c r="A9" s="22" t="s">
        <v>14</v>
      </c>
      <c r="B9" s="23">
        <v>50</v>
      </c>
    </row>
    <row r="10" spans="1:4" x14ac:dyDescent="0.35">
      <c r="A10" s="22" t="s">
        <v>136</v>
      </c>
      <c r="B10" s="23">
        <v>161</v>
      </c>
    </row>
    <row r="12" spans="1:4" x14ac:dyDescent="0.35">
      <c r="A12" s="19" t="s">
        <v>144</v>
      </c>
      <c r="B12" s="19"/>
      <c r="C12" s="31"/>
    </row>
    <row r="13" spans="1:4" x14ac:dyDescent="0.35">
      <c r="A13" s="27">
        <v>63646.29</v>
      </c>
      <c r="B13" s="27"/>
      <c r="C13" s="32"/>
    </row>
    <row r="14" spans="1:4" x14ac:dyDescent="0.35">
      <c r="A14" s="28"/>
      <c r="B14" s="28"/>
      <c r="C14" s="32"/>
    </row>
    <row r="15" spans="1:4" x14ac:dyDescent="0.35">
      <c r="A15" s="19" t="s">
        <v>145</v>
      </c>
      <c r="B15" s="19"/>
      <c r="C15" s="19"/>
    </row>
    <row r="16" spans="1:4" ht="14.5" customHeight="1" x14ac:dyDescent="0.35">
      <c r="A16" s="33" t="s">
        <v>188</v>
      </c>
      <c r="B16" s="33"/>
      <c r="C16" s="33"/>
    </row>
    <row r="17" spans="1:5" x14ac:dyDescent="0.35">
      <c r="A17" s="37"/>
      <c r="B17" s="37"/>
      <c r="C17" s="37"/>
    </row>
    <row r="18" spans="1:5" x14ac:dyDescent="0.35">
      <c r="A18" s="20" t="s">
        <v>9</v>
      </c>
      <c r="B18" s="21" t="s">
        <v>30</v>
      </c>
      <c r="C18" s="30"/>
    </row>
    <row r="19" spans="1:5" x14ac:dyDescent="0.35">
      <c r="A19" s="27"/>
      <c r="B19" s="27"/>
      <c r="C19" s="29"/>
    </row>
    <row r="20" spans="1:5" x14ac:dyDescent="0.35">
      <c r="A20" s="20" t="s">
        <v>3</v>
      </c>
      <c r="B20" s="21" t="s">
        <v>153</v>
      </c>
    </row>
    <row r="21" spans="1:5" x14ac:dyDescent="0.35">
      <c r="A21" s="22" t="s">
        <v>13</v>
      </c>
      <c r="B21" s="23">
        <v>25</v>
      </c>
    </row>
    <row r="22" spans="1:5" x14ac:dyDescent="0.35">
      <c r="A22" s="22" t="s">
        <v>33</v>
      </c>
      <c r="B22" s="23">
        <v>25</v>
      </c>
    </row>
    <row r="23" spans="1:5" x14ac:dyDescent="0.35">
      <c r="A23" s="22" t="s">
        <v>20</v>
      </c>
      <c r="B23" s="23">
        <v>22</v>
      </c>
    </row>
    <row r="24" spans="1:5" x14ac:dyDescent="0.35">
      <c r="A24" s="22" t="s">
        <v>36</v>
      </c>
      <c r="B24" s="23">
        <v>21</v>
      </c>
    </row>
    <row r="25" spans="1:5" x14ac:dyDescent="0.35">
      <c r="A25" s="22" t="s">
        <v>40</v>
      </c>
      <c r="B25" s="23">
        <v>20</v>
      </c>
    </row>
    <row r="26" spans="1:5" x14ac:dyDescent="0.35">
      <c r="A26" s="22" t="s">
        <v>47</v>
      </c>
      <c r="B26" s="23">
        <v>18</v>
      </c>
    </row>
    <row r="27" spans="1:5" x14ac:dyDescent="0.35">
      <c r="A27" s="22" t="s">
        <v>58</v>
      </c>
      <c r="B27" s="23">
        <v>17</v>
      </c>
      <c r="D27" s="6"/>
      <c r="E27" s="7"/>
    </row>
    <row r="28" spans="1:5" x14ac:dyDescent="0.35">
      <c r="A28" s="22" t="s">
        <v>28</v>
      </c>
      <c r="B28" s="23">
        <v>13</v>
      </c>
      <c r="D28" s="6"/>
      <c r="E28" s="7"/>
    </row>
    <row r="29" spans="1:5" x14ac:dyDescent="0.35">
      <c r="A29" s="22" t="s">
        <v>136</v>
      </c>
      <c r="B29" s="23">
        <v>161</v>
      </c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</sheetData>
  <mergeCells count="9">
    <mergeCell ref="A19:B19"/>
    <mergeCell ref="A16:C16"/>
    <mergeCell ref="A12:B12"/>
    <mergeCell ref="A13:B13"/>
    <mergeCell ref="A15:C15"/>
    <mergeCell ref="A1:D1"/>
    <mergeCell ref="A3:D3"/>
    <mergeCell ref="A2:D2"/>
    <mergeCell ref="A5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09B3-27DE-41CB-875B-E291190B85E0}">
  <dimension ref="A1:E181"/>
  <sheetViews>
    <sheetView zoomScale="90" zoomScaleNormal="90" workbookViewId="0">
      <selection activeCell="D20" sqref="D20"/>
    </sheetView>
  </sheetViews>
  <sheetFormatPr defaultRowHeight="14.5" x14ac:dyDescent="0.35"/>
  <cols>
    <col min="1" max="1" width="18.1796875" style="3" bestFit="1" customWidth="1"/>
    <col min="2" max="2" width="24.26953125" bestFit="1" customWidth="1"/>
    <col min="3" max="3" width="14" bestFit="1" customWidth="1"/>
    <col min="4" max="4" width="14.26953125" bestFit="1" customWidth="1"/>
    <col min="5" max="5" width="17.453125" bestFit="1" customWidth="1"/>
  </cols>
  <sheetData>
    <row r="1" spans="1:4" x14ac:dyDescent="0.35">
      <c r="A1" s="19" t="s">
        <v>182</v>
      </c>
      <c r="B1" s="19"/>
      <c r="C1" s="19"/>
      <c r="D1" s="19"/>
    </row>
    <row r="2" spans="1:4" x14ac:dyDescent="0.35">
      <c r="A2" s="19" t="s">
        <v>183</v>
      </c>
      <c r="B2" s="19"/>
      <c r="C2" s="19"/>
      <c r="D2" s="19"/>
    </row>
    <row r="3" spans="1:4" x14ac:dyDescent="0.35">
      <c r="A3" s="17"/>
      <c r="B3" s="17"/>
      <c r="C3" s="17"/>
      <c r="D3" s="17"/>
    </row>
    <row r="4" spans="1:4" x14ac:dyDescent="0.35">
      <c r="A4" s="20" t="s">
        <v>9</v>
      </c>
      <c r="B4" s="21" t="s">
        <v>16</v>
      </c>
    </row>
    <row r="5" spans="1:4" x14ac:dyDescent="0.35">
      <c r="A5" s="25"/>
      <c r="B5" s="26"/>
    </row>
    <row r="6" spans="1:4" x14ac:dyDescent="0.35">
      <c r="A6" s="20" t="s">
        <v>142</v>
      </c>
      <c r="B6" s="21" t="s">
        <v>137</v>
      </c>
    </row>
    <row r="7" spans="1:4" x14ac:dyDescent="0.35">
      <c r="A7" s="22" t="s">
        <v>21</v>
      </c>
      <c r="B7" s="23">
        <v>49</v>
      </c>
    </row>
    <row r="8" spans="1:4" x14ac:dyDescent="0.35">
      <c r="A8" s="22" t="s">
        <v>14</v>
      </c>
      <c r="B8" s="23">
        <v>46</v>
      </c>
    </row>
    <row r="9" spans="1:4" x14ac:dyDescent="0.35">
      <c r="A9" s="22" t="s">
        <v>44</v>
      </c>
      <c r="B9" s="23">
        <v>44</v>
      </c>
    </row>
    <row r="10" spans="1:4" x14ac:dyDescent="0.35">
      <c r="A10" s="22" t="s">
        <v>136</v>
      </c>
      <c r="B10" s="23">
        <v>139</v>
      </c>
    </row>
    <row r="12" spans="1:4" x14ac:dyDescent="0.35">
      <c r="A12" s="19" t="s">
        <v>144</v>
      </c>
      <c r="B12" s="19"/>
      <c r="C12" s="31"/>
    </row>
    <row r="13" spans="1:4" x14ac:dyDescent="0.35">
      <c r="A13" s="27">
        <v>75929.67</v>
      </c>
      <c r="B13" s="27"/>
      <c r="C13" s="32"/>
    </row>
    <row r="14" spans="1:4" x14ac:dyDescent="0.35">
      <c r="A14" s="28"/>
      <c r="B14" s="28"/>
      <c r="C14" s="32"/>
    </row>
    <row r="15" spans="1:4" x14ac:dyDescent="0.35">
      <c r="A15" s="19" t="s">
        <v>184</v>
      </c>
      <c r="B15" s="19"/>
      <c r="C15" s="19"/>
    </row>
    <row r="16" spans="1:4" ht="14.5" customHeight="1" x14ac:dyDescent="0.35">
      <c r="A16" s="33" t="s">
        <v>189</v>
      </c>
      <c r="B16" s="33"/>
      <c r="C16" s="33"/>
    </row>
    <row r="17" spans="1:5" x14ac:dyDescent="0.35">
      <c r="A17" s="37"/>
      <c r="B17" s="37"/>
      <c r="C17" s="37"/>
    </row>
    <row r="18" spans="1:5" x14ac:dyDescent="0.35">
      <c r="A18" s="20" t="s">
        <v>9</v>
      </c>
      <c r="B18" s="21" t="s">
        <v>16</v>
      </c>
      <c r="C18" s="30"/>
    </row>
    <row r="19" spans="1:5" x14ac:dyDescent="0.35">
      <c r="A19" s="27"/>
      <c r="B19" s="27"/>
      <c r="C19" s="29"/>
    </row>
    <row r="20" spans="1:5" x14ac:dyDescent="0.35">
      <c r="A20" s="20" t="s">
        <v>3</v>
      </c>
      <c r="B20" s="21" t="s">
        <v>153</v>
      </c>
    </row>
    <row r="21" spans="1:5" x14ac:dyDescent="0.35">
      <c r="A21" s="22" t="s">
        <v>20</v>
      </c>
      <c r="B21" s="23">
        <v>21</v>
      </c>
    </row>
    <row r="22" spans="1:5" x14ac:dyDescent="0.35">
      <c r="A22" s="22" t="s">
        <v>13</v>
      </c>
      <c r="B22" s="23">
        <v>20</v>
      </c>
    </row>
    <row r="23" spans="1:5" x14ac:dyDescent="0.35">
      <c r="A23" s="22" t="s">
        <v>58</v>
      </c>
      <c r="B23" s="23">
        <v>19</v>
      </c>
    </row>
    <row r="24" spans="1:5" x14ac:dyDescent="0.35">
      <c r="A24" s="22" t="s">
        <v>40</v>
      </c>
      <c r="B24" s="23">
        <v>18</v>
      </c>
    </row>
    <row r="25" spans="1:5" x14ac:dyDescent="0.35">
      <c r="A25" s="22" t="s">
        <v>28</v>
      </c>
      <c r="B25" s="23">
        <v>17</v>
      </c>
    </row>
    <row r="26" spans="1:5" x14ac:dyDescent="0.35">
      <c r="A26" s="22" t="s">
        <v>33</v>
      </c>
      <c r="B26" s="23">
        <v>16</v>
      </c>
    </row>
    <row r="27" spans="1:5" x14ac:dyDescent="0.35">
      <c r="A27" s="22" t="s">
        <v>36</v>
      </c>
      <c r="B27" s="23">
        <v>14</v>
      </c>
      <c r="D27" s="6"/>
      <c r="E27" s="7"/>
    </row>
    <row r="28" spans="1:5" x14ac:dyDescent="0.35">
      <c r="A28" s="22" t="s">
        <v>47</v>
      </c>
      <c r="B28" s="23">
        <v>14</v>
      </c>
      <c r="D28" s="6"/>
      <c r="E28" s="7"/>
    </row>
    <row r="29" spans="1:5" x14ac:dyDescent="0.35">
      <c r="A29" s="22" t="s">
        <v>136</v>
      </c>
      <c r="B29" s="23">
        <v>139</v>
      </c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</sheetData>
  <mergeCells count="9">
    <mergeCell ref="A15:C15"/>
    <mergeCell ref="A16:C16"/>
    <mergeCell ref="A19:B19"/>
    <mergeCell ref="A1:D1"/>
    <mergeCell ref="A2:D2"/>
    <mergeCell ref="A3:D3"/>
    <mergeCell ref="A5:B5"/>
    <mergeCell ref="A12:B12"/>
    <mergeCell ref="A13:B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2D3E-0875-4372-B81C-82F9947E6911}">
  <dimension ref="A1:F40"/>
  <sheetViews>
    <sheetView zoomScale="90" zoomScaleNormal="90" workbookViewId="0">
      <selection activeCell="I13" sqref="I13"/>
    </sheetView>
  </sheetViews>
  <sheetFormatPr defaultRowHeight="14.5" x14ac:dyDescent="0.35"/>
  <cols>
    <col min="1" max="1" width="18.1796875" bestFit="1" customWidth="1"/>
    <col min="2" max="2" width="17" bestFit="1" customWidth="1"/>
    <col min="3" max="3" width="15.26953125" bestFit="1" customWidth="1"/>
  </cols>
  <sheetData>
    <row r="1" spans="1:6" x14ac:dyDescent="0.35">
      <c r="A1" s="19" t="s">
        <v>146</v>
      </c>
      <c r="B1" s="19"/>
      <c r="C1" s="19"/>
      <c r="D1" s="19"/>
      <c r="E1" s="19"/>
      <c r="F1" s="19"/>
    </row>
    <row r="2" spans="1:6" x14ac:dyDescent="0.35">
      <c r="A2" s="24" t="s">
        <v>149</v>
      </c>
      <c r="B2" s="24"/>
      <c r="C2" s="24"/>
      <c r="D2" s="24"/>
      <c r="E2" s="24"/>
      <c r="F2" s="24"/>
    </row>
    <row r="4" spans="1:6" x14ac:dyDescent="0.35">
      <c r="A4" s="20" t="s">
        <v>142</v>
      </c>
      <c r="B4" s="21" t="s">
        <v>147</v>
      </c>
    </row>
    <row r="5" spans="1:6" x14ac:dyDescent="0.35">
      <c r="A5" s="22" t="s">
        <v>21</v>
      </c>
      <c r="B5" s="23">
        <v>1290860.2800000003</v>
      </c>
    </row>
    <row r="6" spans="1:6" x14ac:dyDescent="0.35">
      <c r="A6" s="22" t="s">
        <v>14</v>
      </c>
      <c r="B6" s="23">
        <v>853281.53000000014</v>
      </c>
    </row>
    <row r="7" spans="1:6" x14ac:dyDescent="0.35">
      <c r="A7" s="22" t="s">
        <v>44</v>
      </c>
      <c r="B7" s="23">
        <v>20748.05000000001</v>
      </c>
    </row>
    <row r="8" spans="1:6" x14ac:dyDescent="0.35">
      <c r="A8" s="22" t="s">
        <v>136</v>
      </c>
      <c r="B8" s="23">
        <v>2164889.8600000003</v>
      </c>
    </row>
    <row r="10" spans="1:6" x14ac:dyDescent="0.35">
      <c r="A10" s="19" t="s">
        <v>150</v>
      </c>
      <c r="B10" s="19"/>
      <c r="C10" s="19"/>
      <c r="D10" s="19"/>
    </row>
    <row r="11" spans="1:6" x14ac:dyDescent="0.35">
      <c r="A11" s="24" t="s">
        <v>152</v>
      </c>
      <c r="B11" s="24"/>
      <c r="C11" s="24"/>
      <c r="D11" s="24"/>
    </row>
    <row r="13" spans="1:6" x14ac:dyDescent="0.35">
      <c r="A13" s="20" t="s">
        <v>151</v>
      </c>
      <c r="B13" s="21" t="s">
        <v>148</v>
      </c>
    </row>
    <row r="14" spans="1:6" x14ac:dyDescent="0.35">
      <c r="A14" s="22" t="s">
        <v>74</v>
      </c>
      <c r="B14" s="23">
        <v>26</v>
      </c>
    </row>
    <row r="15" spans="1:6" x14ac:dyDescent="0.35">
      <c r="A15" s="22" t="s">
        <v>65</v>
      </c>
      <c r="B15" s="23">
        <v>26</v>
      </c>
    </row>
    <row r="16" spans="1:6" x14ac:dyDescent="0.35">
      <c r="A16" s="22" t="s">
        <v>42</v>
      </c>
      <c r="B16" s="23">
        <v>26</v>
      </c>
    </row>
    <row r="17" spans="1:2" x14ac:dyDescent="0.35">
      <c r="A17" s="22" t="s">
        <v>34</v>
      </c>
      <c r="B17" s="23">
        <v>22</v>
      </c>
    </row>
    <row r="18" spans="1:2" x14ac:dyDescent="0.35">
      <c r="A18" s="22" t="s">
        <v>45</v>
      </c>
      <c r="B18" s="23">
        <v>19</v>
      </c>
    </row>
    <row r="19" spans="1:2" x14ac:dyDescent="0.35">
      <c r="A19" s="22" t="s">
        <v>62</v>
      </c>
      <c r="B19" s="23">
        <v>19</v>
      </c>
    </row>
    <row r="20" spans="1:2" x14ac:dyDescent="0.35">
      <c r="A20" s="22" t="s">
        <v>48</v>
      </c>
      <c r="B20" s="23">
        <v>18</v>
      </c>
    </row>
    <row r="21" spans="1:2" x14ac:dyDescent="0.35">
      <c r="A21" s="22" t="s">
        <v>29</v>
      </c>
      <c r="B21" s="23">
        <v>17</v>
      </c>
    </row>
    <row r="22" spans="1:2" x14ac:dyDescent="0.35">
      <c r="A22" s="22" t="s">
        <v>22</v>
      </c>
      <c r="B22" s="23">
        <v>17</v>
      </c>
    </row>
    <row r="23" spans="1:2" x14ac:dyDescent="0.35">
      <c r="A23" s="22" t="s">
        <v>52</v>
      </c>
      <c r="B23" s="23">
        <v>16</v>
      </c>
    </row>
    <row r="24" spans="1:2" x14ac:dyDescent="0.35">
      <c r="A24" s="22" t="s">
        <v>76</v>
      </c>
      <c r="B24" s="23">
        <v>16</v>
      </c>
    </row>
    <row r="25" spans="1:2" x14ac:dyDescent="0.35">
      <c r="A25" s="22" t="s">
        <v>37</v>
      </c>
      <c r="B25" s="23">
        <v>15</v>
      </c>
    </row>
    <row r="26" spans="1:2" x14ac:dyDescent="0.35">
      <c r="A26" s="22" t="s">
        <v>50</v>
      </c>
      <c r="B26" s="23">
        <v>15</v>
      </c>
    </row>
    <row r="27" spans="1:2" x14ac:dyDescent="0.35">
      <c r="A27" s="22" t="s">
        <v>68</v>
      </c>
      <c r="B27" s="23">
        <v>14</v>
      </c>
    </row>
    <row r="28" spans="1:2" x14ac:dyDescent="0.35">
      <c r="A28" s="22" t="s">
        <v>87</v>
      </c>
      <c r="B28" s="23">
        <v>12</v>
      </c>
    </row>
    <row r="29" spans="1:2" x14ac:dyDescent="0.35">
      <c r="A29" s="22" t="s">
        <v>82</v>
      </c>
      <c r="B29" s="23">
        <v>12</v>
      </c>
    </row>
    <row r="30" spans="1:2" x14ac:dyDescent="0.35">
      <c r="A30" s="22" t="s">
        <v>15</v>
      </c>
      <c r="B30" s="23">
        <v>10</v>
      </c>
    </row>
    <row r="31" spans="1:2" x14ac:dyDescent="0.35">
      <c r="A31" s="22" t="s">
        <v>136</v>
      </c>
      <c r="B31" s="23">
        <v>300</v>
      </c>
    </row>
    <row r="33" spans="1:5" x14ac:dyDescent="0.35">
      <c r="A33" s="19" t="s">
        <v>155</v>
      </c>
      <c r="B33" s="19"/>
      <c r="C33" s="19"/>
      <c r="D33" s="19"/>
      <c r="E33" s="19"/>
    </row>
    <row r="34" spans="1:5" x14ac:dyDescent="0.35">
      <c r="A34" s="24" t="s">
        <v>157</v>
      </c>
      <c r="B34" s="24"/>
      <c r="C34" s="24"/>
      <c r="D34" s="24"/>
      <c r="E34" s="24"/>
    </row>
    <row r="36" spans="1:5" x14ac:dyDescent="0.35">
      <c r="A36" s="20" t="s">
        <v>142</v>
      </c>
      <c r="B36" s="21" t="s">
        <v>156</v>
      </c>
    </row>
    <row r="37" spans="1:5" x14ac:dyDescent="0.35">
      <c r="A37" s="22" t="s">
        <v>14</v>
      </c>
      <c r="B37" s="23">
        <v>75929.67</v>
      </c>
    </row>
    <row r="38" spans="1:5" x14ac:dyDescent="0.35">
      <c r="A38" s="22" t="s">
        <v>21</v>
      </c>
      <c r="B38" s="23">
        <v>63169.4</v>
      </c>
    </row>
    <row r="39" spans="1:5" x14ac:dyDescent="0.35">
      <c r="A39" s="22" t="s">
        <v>44</v>
      </c>
      <c r="B39" s="23">
        <v>651.77</v>
      </c>
    </row>
    <row r="40" spans="1:5" x14ac:dyDescent="0.35">
      <c r="A40" s="22" t="s">
        <v>136</v>
      </c>
      <c r="B40" s="23">
        <v>75929.67</v>
      </c>
    </row>
  </sheetData>
  <mergeCells count="6">
    <mergeCell ref="A33:E33"/>
    <mergeCell ref="A34:E34"/>
    <mergeCell ref="A1:F1"/>
    <mergeCell ref="A2:F2"/>
    <mergeCell ref="A10:D10"/>
    <mergeCell ref="A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E4A8-D01F-4C93-9246-12F5FB9CC2FD}">
  <dimension ref="A1:E33"/>
  <sheetViews>
    <sheetView zoomScale="90" zoomScaleNormal="90" workbookViewId="0">
      <selection activeCell="B35" sqref="B35"/>
    </sheetView>
  </sheetViews>
  <sheetFormatPr defaultRowHeight="14.5" x14ac:dyDescent="0.35"/>
  <cols>
    <col min="1" max="1" width="18.26953125" bestFit="1" customWidth="1"/>
    <col min="2" max="2" width="24.36328125" bestFit="1" customWidth="1"/>
  </cols>
  <sheetData>
    <row r="1" spans="1:5" x14ac:dyDescent="0.35">
      <c r="A1" s="19" t="s">
        <v>158</v>
      </c>
      <c r="B1" s="19"/>
      <c r="C1" s="19"/>
      <c r="D1" s="31"/>
      <c r="E1" s="31"/>
    </row>
    <row r="2" spans="1:5" x14ac:dyDescent="0.35">
      <c r="A2" s="24" t="s">
        <v>161</v>
      </c>
      <c r="B2" s="24"/>
      <c r="C2" s="24"/>
      <c r="D2" s="38"/>
      <c r="E2" s="38"/>
    </row>
    <row r="4" spans="1:5" x14ac:dyDescent="0.35">
      <c r="A4" s="20" t="s">
        <v>160</v>
      </c>
      <c r="B4" s="21" t="s">
        <v>159</v>
      </c>
    </row>
    <row r="5" spans="1:5" x14ac:dyDescent="0.35">
      <c r="A5" s="22" t="s">
        <v>17</v>
      </c>
      <c r="B5" s="23">
        <v>88</v>
      </c>
    </row>
    <row r="6" spans="1:5" x14ac:dyDescent="0.35">
      <c r="A6" s="22" t="s">
        <v>31</v>
      </c>
      <c r="B6" s="23">
        <v>80</v>
      </c>
    </row>
    <row r="7" spans="1:5" x14ac:dyDescent="0.35">
      <c r="A7" s="22" t="s">
        <v>23</v>
      </c>
      <c r="B7" s="23">
        <v>75</v>
      </c>
    </row>
    <row r="8" spans="1:5" x14ac:dyDescent="0.35">
      <c r="A8" s="22" t="s">
        <v>25</v>
      </c>
      <c r="B8" s="23">
        <v>57</v>
      </c>
    </row>
    <row r="9" spans="1:5" x14ac:dyDescent="0.35">
      <c r="A9" s="22" t="s">
        <v>136</v>
      </c>
      <c r="B9" s="23">
        <v>300</v>
      </c>
    </row>
    <row r="11" spans="1:5" x14ac:dyDescent="0.35">
      <c r="A11" s="19" t="s">
        <v>162</v>
      </c>
      <c r="B11" s="19"/>
      <c r="C11" s="19"/>
    </row>
    <row r="12" spans="1:5" x14ac:dyDescent="0.35">
      <c r="A12" s="33" t="s">
        <v>163</v>
      </c>
      <c r="B12" s="33"/>
      <c r="C12" s="33"/>
    </row>
    <row r="13" spans="1:5" x14ac:dyDescent="0.35">
      <c r="A13" s="33"/>
      <c r="B13" s="33"/>
      <c r="C13" s="33"/>
    </row>
    <row r="15" spans="1:5" x14ac:dyDescent="0.35">
      <c r="A15" s="20" t="s">
        <v>9</v>
      </c>
      <c r="B15" s="21" t="s">
        <v>30</v>
      </c>
    </row>
    <row r="16" spans="1:5" x14ac:dyDescent="0.35">
      <c r="A16" s="24"/>
      <c r="B16" s="24"/>
    </row>
    <row r="17" spans="1:3" x14ac:dyDescent="0.35">
      <c r="A17" s="20" t="s">
        <v>160</v>
      </c>
      <c r="B17" s="21" t="s">
        <v>159</v>
      </c>
    </row>
    <row r="18" spans="1:3" x14ac:dyDescent="0.35">
      <c r="A18" s="22" t="s">
        <v>31</v>
      </c>
      <c r="B18" s="23">
        <v>48</v>
      </c>
    </row>
    <row r="19" spans="1:3" x14ac:dyDescent="0.35">
      <c r="A19" s="22" t="s">
        <v>23</v>
      </c>
      <c r="B19" s="23">
        <v>43</v>
      </c>
    </row>
    <row r="20" spans="1:3" x14ac:dyDescent="0.35">
      <c r="A20" s="22" t="s">
        <v>17</v>
      </c>
      <c r="B20" s="23">
        <v>42</v>
      </c>
    </row>
    <row r="21" spans="1:3" x14ac:dyDescent="0.35">
      <c r="A21" s="22" t="s">
        <v>25</v>
      </c>
      <c r="B21" s="23">
        <v>28</v>
      </c>
    </row>
    <row r="22" spans="1:3" x14ac:dyDescent="0.35">
      <c r="A22" s="22" t="s">
        <v>136</v>
      </c>
      <c r="B22" s="23">
        <v>161</v>
      </c>
    </row>
    <row r="24" spans="1:3" x14ac:dyDescent="0.35">
      <c r="A24" s="19" t="s">
        <v>164</v>
      </c>
      <c r="B24" s="19"/>
      <c r="C24" s="19"/>
    </row>
    <row r="25" spans="1:3" x14ac:dyDescent="0.35">
      <c r="A25" s="10" t="s">
        <v>166</v>
      </c>
      <c r="B25" s="10"/>
      <c r="C25" s="10"/>
    </row>
    <row r="26" spans="1:3" x14ac:dyDescent="0.35">
      <c r="A26" s="10"/>
      <c r="B26" s="10"/>
      <c r="C26" s="10"/>
    </row>
    <row r="28" spans="1:3" x14ac:dyDescent="0.35">
      <c r="A28" s="20" t="s">
        <v>160</v>
      </c>
      <c r="B28" s="21" t="s">
        <v>165</v>
      </c>
    </row>
    <row r="29" spans="1:3" x14ac:dyDescent="0.35">
      <c r="A29" s="22" t="s">
        <v>25</v>
      </c>
      <c r="B29" s="23">
        <v>10812.794035087716</v>
      </c>
    </row>
    <row r="30" spans="1:3" x14ac:dyDescent="0.35">
      <c r="A30" s="22" t="s">
        <v>31</v>
      </c>
      <c r="B30" s="23">
        <v>8408.0222499999982</v>
      </c>
    </row>
    <row r="31" spans="1:3" x14ac:dyDescent="0.35">
      <c r="A31" s="22" t="s">
        <v>23</v>
      </c>
      <c r="B31" s="23">
        <v>6591.3726666666671</v>
      </c>
    </row>
    <row r="32" spans="1:3" x14ac:dyDescent="0.35">
      <c r="A32" s="22" t="s">
        <v>17</v>
      </c>
      <c r="B32" s="23">
        <v>4335.9757954545421</v>
      </c>
    </row>
    <row r="33" spans="1:2" x14ac:dyDescent="0.35">
      <c r="A33" s="22" t="s">
        <v>136</v>
      </c>
      <c r="B33" s="23">
        <v>7216.2995333333374</v>
      </c>
    </row>
  </sheetData>
  <mergeCells count="7">
    <mergeCell ref="A16:B16"/>
    <mergeCell ref="A12:C13"/>
    <mergeCell ref="A24:C24"/>
    <mergeCell ref="A25:C26"/>
    <mergeCell ref="A1:C1"/>
    <mergeCell ref="A2:C2"/>
    <mergeCell ref="A11:C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7387-C245-4C2F-BE58-A3917BD7E0EE}">
  <dimension ref="A1:F39"/>
  <sheetViews>
    <sheetView zoomScale="90" zoomScaleNormal="90" workbookViewId="0">
      <selection activeCell="C38" sqref="C38"/>
    </sheetView>
  </sheetViews>
  <sheetFormatPr defaultRowHeight="14.5" x14ac:dyDescent="0.35"/>
  <cols>
    <col min="1" max="1" width="12.90625" bestFit="1" customWidth="1"/>
    <col min="2" max="2" width="17.453125" bestFit="1" customWidth="1"/>
    <col min="3" max="4" width="5.81640625" bestFit="1" customWidth="1"/>
    <col min="5" max="5" width="5.26953125" bestFit="1" customWidth="1"/>
    <col min="6" max="6" width="11" bestFit="1" customWidth="1"/>
  </cols>
  <sheetData>
    <row r="1" spans="1:6" x14ac:dyDescent="0.35">
      <c r="A1" s="19" t="s">
        <v>167</v>
      </c>
      <c r="B1" s="19"/>
      <c r="C1" s="19"/>
      <c r="D1" s="19"/>
      <c r="E1" s="19"/>
      <c r="F1" s="19"/>
    </row>
    <row r="2" spans="1:6" x14ac:dyDescent="0.35">
      <c r="A2" s="24" t="s">
        <v>168</v>
      </c>
      <c r="B2" s="24"/>
      <c r="C2" s="24"/>
      <c r="D2" s="24"/>
      <c r="E2" s="24"/>
      <c r="F2" s="24"/>
    </row>
    <row r="4" spans="1:6" x14ac:dyDescent="0.35">
      <c r="A4" s="20" t="s">
        <v>3</v>
      </c>
      <c r="B4" s="21" t="s">
        <v>147</v>
      </c>
    </row>
    <row r="5" spans="1:6" x14ac:dyDescent="0.35">
      <c r="A5" s="22" t="s">
        <v>20</v>
      </c>
      <c r="B5" s="23">
        <v>373618.75</v>
      </c>
    </row>
    <row r="6" spans="1:6" x14ac:dyDescent="0.35">
      <c r="A6" s="22" t="s">
        <v>58</v>
      </c>
      <c r="B6" s="23">
        <v>347737.33</v>
      </c>
    </row>
    <row r="7" spans="1:6" x14ac:dyDescent="0.35">
      <c r="A7" s="22" t="s">
        <v>33</v>
      </c>
      <c r="B7" s="23">
        <v>313177.13</v>
      </c>
    </row>
    <row r="8" spans="1:6" x14ac:dyDescent="0.35">
      <c r="A8" s="22" t="s">
        <v>40</v>
      </c>
      <c r="B8" s="23">
        <v>278869.62000000005</v>
      </c>
    </row>
    <row r="9" spans="1:6" x14ac:dyDescent="0.35">
      <c r="A9" s="22" t="s">
        <v>13</v>
      </c>
      <c r="B9" s="23">
        <v>274633.96000000002</v>
      </c>
    </row>
    <row r="10" spans="1:6" x14ac:dyDescent="0.35">
      <c r="A10" s="22" t="s">
        <v>36</v>
      </c>
      <c r="B10" s="23">
        <v>221576.77000000005</v>
      </c>
    </row>
    <row r="11" spans="1:6" x14ac:dyDescent="0.35">
      <c r="A11" s="22" t="s">
        <v>28</v>
      </c>
      <c r="B11" s="23">
        <v>191099.4</v>
      </c>
    </row>
    <row r="12" spans="1:6" x14ac:dyDescent="0.35">
      <c r="A12" s="22" t="s">
        <v>47</v>
      </c>
      <c r="B12" s="23">
        <v>164176.90000000002</v>
      </c>
    </row>
    <row r="13" spans="1:6" x14ac:dyDescent="0.35">
      <c r="A13" s="22" t="s">
        <v>136</v>
      </c>
      <c r="B13" s="23">
        <v>2164889.86</v>
      </c>
    </row>
    <row r="15" spans="1:6" x14ac:dyDescent="0.35">
      <c r="A15" s="19" t="s">
        <v>169</v>
      </c>
      <c r="B15" s="19"/>
      <c r="C15" s="19"/>
      <c r="D15" s="19"/>
      <c r="E15" s="19"/>
      <c r="F15" s="19"/>
    </row>
    <row r="16" spans="1:6" x14ac:dyDescent="0.35">
      <c r="A16" s="24" t="s">
        <v>170</v>
      </c>
      <c r="B16" s="24"/>
      <c r="C16" s="24"/>
      <c r="D16" s="24"/>
      <c r="E16" s="24"/>
      <c r="F16" s="24"/>
    </row>
    <row r="18" spans="1:6" x14ac:dyDescent="0.35">
      <c r="A18" s="20" t="s">
        <v>3</v>
      </c>
      <c r="B18" s="21" t="s">
        <v>153</v>
      </c>
    </row>
    <row r="19" spans="1:6" x14ac:dyDescent="0.35">
      <c r="A19" s="22" t="s">
        <v>13</v>
      </c>
      <c r="B19" s="23">
        <v>45</v>
      </c>
    </row>
    <row r="20" spans="1:6" x14ac:dyDescent="0.35">
      <c r="A20" s="22" t="s">
        <v>20</v>
      </c>
      <c r="B20" s="23">
        <v>43</v>
      </c>
    </row>
    <row r="21" spans="1:6" x14ac:dyDescent="0.35">
      <c r="A21" s="22" t="s">
        <v>33</v>
      </c>
      <c r="B21" s="23">
        <v>41</v>
      </c>
    </row>
    <row r="22" spans="1:6" x14ac:dyDescent="0.35">
      <c r="A22" s="22" t="s">
        <v>40</v>
      </c>
      <c r="B22" s="23">
        <v>38</v>
      </c>
    </row>
    <row r="23" spans="1:6" x14ac:dyDescent="0.35">
      <c r="A23" s="22" t="s">
        <v>58</v>
      </c>
      <c r="B23" s="23">
        <v>36</v>
      </c>
    </row>
    <row r="24" spans="1:6" x14ac:dyDescent="0.35">
      <c r="A24" s="22" t="s">
        <v>36</v>
      </c>
      <c r="B24" s="23">
        <v>35</v>
      </c>
    </row>
    <row r="25" spans="1:6" x14ac:dyDescent="0.35">
      <c r="A25" s="22" t="s">
        <v>47</v>
      </c>
      <c r="B25" s="23">
        <v>32</v>
      </c>
    </row>
    <row r="26" spans="1:6" x14ac:dyDescent="0.35">
      <c r="A26" s="22" t="s">
        <v>28</v>
      </c>
      <c r="B26" s="23">
        <v>30</v>
      </c>
    </row>
    <row r="27" spans="1:6" x14ac:dyDescent="0.35">
      <c r="A27" s="22" t="s">
        <v>136</v>
      </c>
      <c r="B27" s="23">
        <v>300</v>
      </c>
    </row>
    <row r="29" spans="1:6" x14ac:dyDescent="0.35">
      <c r="A29" s="19" t="s">
        <v>171</v>
      </c>
      <c r="B29" s="19"/>
      <c r="C29" s="19"/>
      <c r="D29" s="19"/>
      <c r="E29" s="19"/>
      <c r="F29" s="19"/>
    </row>
    <row r="30" spans="1:6" x14ac:dyDescent="0.35">
      <c r="A30" s="24" t="s">
        <v>185</v>
      </c>
      <c r="B30" s="24"/>
      <c r="C30" s="24"/>
      <c r="D30" s="24"/>
      <c r="E30" s="24"/>
      <c r="F30" s="24"/>
    </row>
    <row r="31" spans="1:6" x14ac:dyDescent="0.35">
      <c r="A31" s="16"/>
      <c r="B31" s="16"/>
      <c r="C31" s="16"/>
      <c r="D31" s="16"/>
      <c r="E31" s="16"/>
      <c r="F31" s="16"/>
    </row>
    <row r="32" spans="1:6" x14ac:dyDescent="0.35">
      <c r="A32" s="20" t="s">
        <v>3</v>
      </c>
      <c r="B32" s="21" t="s">
        <v>13</v>
      </c>
      <c r="C32" s="16"/>
      <c r="D32" s="16"/>
      <c r="E32" s="16"/>
      <c r="F32" s="16"/>
    </row>
    <row r="33" spans="1:2" x14ac:dyDescent="0.35">
      <c r="A33" s="24"/>
      <c r="B33" s="24"/>
    </row>
    <row r="34" spans="1:2" x14ac:dyDescent="0.35">
      <c r="A34" s="20" t="s">
        <v>2</v>
      </c>
      <c r="B34" s="21" t="s">
        <v>172</v>
      </c>
    </row>
    <row r="35" spans="1:2" x14ac:dyDescent="0.35">
      <c r="A35" s="22" t="s">
        <v>27</v>
      </c>
      <c r="B35" s="23">
        <v>15</v>
      </c>
    </row>
    <row r="36" spans="1:2" x14ac:dyDescent="0.35">
      <c r="A36" s="22" t="s">
        <v>32</v>
      </c>
      <c r="B36" s="23">
        <v>13</v>
      </c>
    </row>
    <row r="37" spans="1:2" x14ac:dyDescent="0.35">
      <c r="A37" s="22" t="s">
        <v>12</v>
      </c>
      <c r="B37" s="23">
        <v>9</v>
      </c>
    </row>
    <row r="38" spans="1:2" x14ac:dyDescent="0.35">
      <c r="A38" s="22" t="s">
        <v>19</v>
      </c>
      <c r="B38" s="23">
        <v>8</v>
      </c>
    </row>
    <row r="39" spans="1:2" x14ac:dyDescent="0.35">
      <c r="A39" s="22" t="s">
        <v>136</v>
      </c>
      <c r="B39" s="23">
        <v>45</v>
      </c>
    </row>
  </sheetData>
  <mergeCells count="7">
    <mergeCell ref="A33:B33"/>
    <mergeCell ref="A2:F2"/>
    <mergeCell ref="A15:F15"/>
    <mergeCell ref="A16:F16"/>
    <mergeCell ref="A29:F29"/>
    <mergeCell ref="A30:F30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CE7C-D966-47CF-8387-014E37F69E21}">
  <dimension ref="A3:B42"/>
  <sheetViews>
    <sheetView workbookViewId="0">
      <selection activeCell="N51" sqref="N51"/>
    </sheetView>
  </sheetViews>
  <sheetFormatPr defaultRowHeight="14.5" x14ac:dyDescent="0.35"/>
  <cols>
    <col min="1" max="1" width="19.90625" customWidth="1"/>
    <col min="2" max="2" width="22" bestFit="1" customWidth="1"/>
  </cols>
  <sheetData>
    <row r="3" spans="1:2" x14ac:dyDescent="0.35">
      <c r="A3" s="5" t="s">
        <v>142</v>
      </c>
      <c r="B3" t="s">
        <v>147</v>
      </c>
    </row>
    <row r="4" spans="1:2" x14ac:dyDescent="0.35">
      <c r="A4" s="6" t="s">
        <v>21</v>
      </c>
      <c r="B4" s="7">
        <v>1290860.2800000003</v>
      </c>
    </row>
    <row r="5" spans="1:2" x14ac:dyDescent="0.35">
      <c r="A5" s="6" t="s">
        <v>14</v>
      </c>
      <c r="B5" s="7">
        <v>853281.53000000014</v>
      </c>
    </row>
    <row r="6" spans="1:2" x14ac:dyDescent="0.35">
      <c r="A6" s="6" t="s">
        <v>44</v>
      </c>
      <c r="B6" s="7">
        <v>20748.05000000001</v>
      </c>
    </row>
    <row r="7" spans="1:2" x14ac:dyDescent="0.35">
      <c r="A7" s="6" t="s">
        <v>136</v>
      </c>
      <c r="B7" s="7">
        <v>2164889.8600000003</v>
      </c>
    </row>
    <row r="19" spans="1:2" x14ac:dyDescent="0.35">
      <c r="A19" s="5" t="s">
        <v>187</v>
      </c>
      <c r="B19" t="s">
        <v>186</v>
      </c>
    </row>
    <row r="20" spans="1:2" x14ac:dyDescent="0.35">
      <c r="A20" s="6" t="s">
        <v>30</v>
      </c>
      <c r="B20" s="7">
        <v>161</v>
      </c>
    </row>
    <row r="21" spans="1:2" x14ac:dyDescent="0.35">
      <c r="A21" s="6" t="s">
        <v>16</v>
      </c>
      <c r="B21" s="7">
        <v>139</v>
      </c>
    </row>
    <row r="22" spans="1:2" x14ac:dyDescent="0.35">
      <c r="A22" s="6" t="s">
        <v>136</v>
      </c>
      <c r="B22" s="7">
        <v>300</v>
      </c>
    </row>
    <row r="37" spans="1:2" x14ac:dyDescent="0.35">
      <c r="A37" s="5" t="s">
        <v>2</v>
      </c>
      <c r="B37" t="s">
        <v>147</v>
      </c>
    </row>
    <row r="38" spans="1:2" x14ac:dyDescent="0.35">
      <c r="A38" s="6" t="s">
        <v>32</v>
      </c>
      <c r="B38" s="7">
        <v>582615.11</v>
      </c>
    </row>
    <row r="39" spans="1:2" x14ac:dyDescent="0.35">
      <c r="A39" s="6" t="s">
        <v>12</v>
      </c>
      <c r="B39" s="7">
        <v>580102.88999999978</v>
      </c>
    </row>
    <row r="40" spans="1:2" x14ac:dyDescent="0.35">
      <c r="A40" s="6" t="s">
        <v>19</v>
      </c>
      <c r="B40" s="7">
        <v>516187.72</v>
      </c>
    </row>
    <row r="41" spans="1:2" x14ac:dyDescent="0.35">
      <c r="A41" s="6" t="s">
        <v>27</v>
      </c>
      <c r="B41" s="7">
        <v>485984.13999999996</v>
      </c>
    </row>
    <row r="42" spans="1:2" x14ac:dyDescent="0.35">
      <c r="A42" s="6" t="s">
        <v>136</v>
      </c>
      <c r="B42" s="7">
        <v>2164889.86</v>
      </c>
    </row>
  </sheetData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351B-9FD0-42B3-B1A4-5CC4403F6B8C}">
  <dimension ref="A1"/>
  <sheetViews>
    <sheetView topLeftCell="A17" workbookViewId="0">
      <selection activeCell="J24" sqref="J2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Sales_Data</vt:lpstr>
      <vt:lpstr>Task 1_East</vt:lpstr>
      <vt:lpstr>Task 1_North</vt:lpstr>
      <vt:lpstr>Task 1_South</vt:lpstr>
      <vt:lpstr>Task 1_West</vt:lpstr>
      <vt:lpstr>Task 2_Business</vt:lpstr>
      <vt:lpstr>Task 2_Retail</vt:lpstr>
      <vt:lpstr>Task 3</vt:lpstr>
      <vt:lpstr>Task 4</vt:lpstr>
      <vt:lpstr>Task 5</vt:lpstr>
      <vt:lpstr>Visuals</vt:lpstr>
      <vt:lpstr>Recommendation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marenza santarin</cp:lastModifiedBy>
  <cp:revision/>
  <dcterms:created xsi:type="dcterms:W3CDTF">2026-04-07T23:51:41Z</dcterms:created>
  <dcterms:modified xsi:type="dcterms:W3CDTF">2026-04-10T00:06:28Z</dcterms:modified>
  <cp:category/>
  <cp:contentStatus/>
</cp:coreProperties>
</file>