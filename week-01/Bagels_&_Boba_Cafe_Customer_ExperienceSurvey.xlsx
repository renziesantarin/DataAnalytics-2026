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C:\Users\marenzasantarin\OneDrive - Year Up- BOS\Documents\DataAnalytics\week-01\"/>
    </mc:Choice>
  </mc:AlternateContent>
  <xr:revisionPtr revIDLastSave="0" documentId="13_ncr:1_{0C79AC34-8B23-4023-955D-AB13FAF937BC}" xr6:coauthVersionLast="47" xr6:coauthVersionMax="47" xr10:uidLastSave="{00000000-0000-0000-0000-000000000000}"/>
  <bookViews>
    <workbookView xWindow="-110" yWindow="-110" windowWidth="19420" windowHeight="11500" tabRatio="747" xr2:uid="{00000000-000D-0000-FFFF-FFFF00000000}"/>
  </bookViews>
  <sheets>
    <sheet name="Survey_Responses" sheetId="1" r:id="rId1"/>
    <sheet name="Most Purchased Items" sheetId="4" r:id="rId2"/>
    <sheet name="Customer Visit Frequency" sheetId="5" r:id="rId3"/>
    <sheet name="Recommendation" sheetId="8" r:id="rId4"/>
  </sheets>
  <calcPr calcId="191029"/>
  <pivotCaches>
    <pivotCache cacheId="2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 r="I14" i="1"/>
  <c r="H14" i="1"/>
  <c r="D2" i="1"/>
  <c r="D3" i="1"/>
  <c r="D6" i="1"/>
  <c r="D9" i="1"/>
  <c r="D10" i="1"/>
  <c r="D12" i="1"/>
  <c r="D14" i="1" l="1"/>
</calcChain>
</file>

<file path=xl/sharedStrings.xml><?xml version="1.0" encoding="utf-8"?>
<sst xmlns="http://schemas.openxmlformats.org/spreadsheetml/2006/main" count="61" uniqueCount="37">
  <si>
    <t>ID</t>
  </si>
  <si>
    <t>Start time</t>
  </si>
  <si>
    <t>Completion time</t>
  </si>
  <si>
    <t>Email</t>
  </si>
  <si>
    <t>How often do you visit Bagels &amp; Boba?</t>
  </si>
  <si>
    <t>What do you usually purchase?</t>
  </si>
  <si>
    <t>How satisfied were you with your most recent visit? 1 star = Very dissatisfied / 5 stars = Very satisfied</t>
  </si>
  <si>
    <t>How would you rate the speed and overall quality of the service? 1 star = Very dissatisfied / 5 stars = Very satisfied</t>
  </si>
  <si>
    <t>What matters most to you when choosing this location?</t>
  </si>
  <si>
    <t>What is one thing you would like to improve?</t>
  </si>
  <si>
    <t>anonymous</t>
  </si>
  <si>
    <t>Weekly</t>
  </si>
  <si>
    <t>Taste / Quality;Price;Convenience / location;Customer service;Speed of service;Menu variety;</t>
  </si>
  <si>
    <t>N/A</t>
  </si>
  <si>
    <t>Daily</t>
  </si>
  <si>
    <t>Price;Taste / Quality;Customer service;Menu variety;</t>
  </si>
  <si>
    <t>Discounts and specials!</t>
  </si>
  <si>
    <t>Taste / Quality;Convenience / location;Customer service;</t>
  </si>
  <si>
    <t>I've always had positive experiences when visiting the store, the staff are always friendly and the atmosphere is great. One improvement I could think of is the service during busy times could be faster.</t>
  </si>
  <si>
    <t>Taste / Quality;Price;Speed of service;Menu variety;</t>
  </si>
  <si>
    <t xml:space="preserve">I will say that while my drink came to me in a timely manner, it felt a little lackluster, but overall I did love the croissant that I received. </t>
  </si>
  <si>
    <t>Price;</t>
  </si>
  <si>
    <t>more flavor boba options</t>
  </si>
  <si>
    <t>Monthly</t>
  </si>
  <si>
    <t>Menu variety;Price;</t>
  </si>
  <si>
    <t>Add more deals.</t>
  </si>
  <si>
    <t>Time to Complete</t>
  </si>
  <si>
    <t>Row Labels</t>
  </si>
  <si>
    <t>Grand Total</t>
  </si>
  <si>
    <t>Count of What do you usually purchase?</t>
  </si>
  <si>
    <t>Snacks / sides</t>
  </si>
  <si>
    <t>Bagel sandwiches</t>
  </si>
  <si>
    <t>Salads</t>
  </si>
  <si>
    <t>Specialty drinks</t>
  </si>
  <si>
    <t>Desserts</t>
  </si>
  <si>
    <t>Menu Items</t>
  </si>
  <si>
    <t>Count of How often do you visit Bagels &amp; Boba?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</si>
</sst>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ss"/>
    <numFmt numFmtId="167" formatCode="mm/dd/yyyy\ hh:mm:ss"/>
    <numFmt numFmtId="174" formatCode="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167" fontId="0" fillId="0" borderId="0" xfId="0" applyNumberFormat="1" applyAlignment="1">
      <alignment vertical="center"/>
    </xf>
    <xf numFmtId="0" fontId="0" fillId="0" borderId="0" xfId="0" applyAlignment="1">
      <alignment vertical="center" wrapText="1"/>
    </xf>
    <xf numFmtId="45" fontId="0" fillId="0" borderId="0" xfId="0" applyNumberFormat="1" applyAlignment="1">
      <alignment vertical="center"/>
    </xf>
    <xf numFmtId="0" fontId="0" fillId="0" borderId="0" xfId="0" applyNumberFormat="1" applyAlignment="1">
      <alignment vertical="center"/>
    </xf>
    <xf numFmtId="174" fontId="0" fillId="0" borderId="0" xfId="0" applyNumberFormat="1" applyAlignment="1">
      <alignment vertical="center"/>
    </xf>
    <xf numFmtId="0" fontId="0" fillId="0" borderId="0" xfId="0" applyAlignment="1">
      <alignment horizontal="center" vertical="center"/>
    </xf>
    <xf numFmtId="167" fontId="0" fillId="0" borderId="0" xfId="0" applyNumberFormat="1" applyAlignment="1">
      <alignment horizontal="center" vertical="center"/>
    </xf>
    <xf numFmtId="0" fontId="0" fillId="0" borderId="0" xfId="0" applyAlignment="1">
      <alignment horizontal="center" vertical="center" wrapText="1"/>
    </xf>
    <xf numFmtId="0" fontId="0" fillId="0" borderId="0" xfId="0" applyNumberFormat="1" applyAlignment="1">
      <alignment vertical="center" wrapText="1"/>
    </xf>
  </cellXfs>
  <cellStyles count="1">
    <cellStyle name="Normal" xfId="0" builtinId="0"/>
  </cellStyles>
  <dxfs count="25">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indent="0" justifyLastLine="0" shrinkToFit="0" readingOrder="0"/>
    </dxf>
    <dxf>
      <alignment horizontal="center"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numFmt numFmtId="174" formatCode="0.0"/>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28" formatCode="mm:ss"/>
      <alignment horizontal="general" vertical="center" textRotation="0" indent="0" justifyLastLine="0" shrinkToFit="0" readingOrder="0"/>
    </dxf>
    <dxf>
      <numFmt numFmtId="28" formatCode="mm:ss"/>
      <alignment horizontal="general" vertical="center" textRotation="0" indent="0" justifyLastLine="0" shrinkToFit="0" readingOrder="0"/>
    </dxf>
    <dxf>
      <numFmt numFmtId="167" formatCode="mm/dd/yyyy\ hh:mm:ss"/>
      <alignment horizontal="general" vertical="center" textRotation="0" indent="0" justifyLastLine="0" shrinkToFit="0" readingOrder="0"/>
    </dxf>
    <dxf>
      <numFmt numFmtId="167" formatCode="mm/dd/yyyy\ hh:mm:ss"/>
      <alignment horizontal="general" vertical="center" textRotation="0" indent="0" justifyLastLine="0" shrinkToFit="0" readingOrder="0"/>
    </dxf>
    <dxf>
      <numFmt numFmtId="167" formatCode="mm/dd/yyyy\ hh:mm:ss"/>
      <alignment horizontal="general" vertical="center" textRotation="0" indent="0" justifyLastLine="0" shrinkToFit="0" readingOrder="0"/>
    </dxf>
    <dxf>
      <numFmt numFmtId="167" formatCode="mm/dd/yyyy\ hh:mm:ss"/>
      <alignment horizontal="general" vertical="center" textRotation="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[Bagels &amp; Boba Cafe Customer Experience Survey(1-6).xlsx]Most Purchased Items!PivotTable3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Most Frequently Purchased Items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Purchased Items'!$B$1</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'Most Purchased Items'!$A$2:$A$7</c:f>
              <c:strCache>
                <c:ptCount val="5"/>
                <c:pt idx="0">
                  <c:v>Bagel sandwiches</c:v>
                </c:pt>
                <c:pt idx="1">
                  <c:v>Desserts</c:v>
                </c:pt>
                <c:pt idx="2">
                  <c:v>Salads</c:v>
                </c:pt>
                <c:pt idx="3">
                  <c:v>Snacks / sides</c:v>
                </c:pt>
                <c:pt idx="4">
                  <c:v>Specialty drinks</c:v>
                </c:pt>
              </c:strCache>
            </c:strRef>
          </c:cat>
          <c:val>
            <c:numRef>
              <c:f>'Most Purchased Items'!$B$2:$B$7</c:f>
              <c:numCache>
                <c:formatCode>General</c:formatCode>
                <c:ptCount val="5"/>
                <c:pt idx="0">
                  <c:v>4</c:v>
                </c:pt>
                <c:pt idx="1">
                  <c:v>2</c:v>
                </c:pt>
                <c:pt idx="2">
                  <c:v>1</c:v>
                </c:pt>
                <c:pt idx="3">
                  <c:v>2</c:v>
                </c:pt>
                <c:pt idx="4">
                  <c:v>3</c:v>
                </c:pt>
              </c:numCache>
            </c:numRef>
          </c:val>
          <c:extLst>
            <c:ext xmlns:c16="http://schemas.microsoft.com/office/drawing/2014/chart" uri="{C3380CC4-5D6E-409C-BE32-E72D297353CC}">
              <c16:uniqueId val="{00000000-C87C-435B-872B-1A4250A3F908}"/>
            </c:ext>
          </c:extLst>
        </c:ser>
        <c:dLbls>
          <c:dLblPos val="inEnd"/>
          <c:showLegendKey val="0"/>
          <c:showVal val="1"/>
          <c:showCatName val="0"/>
          <c:showSerName val="0"/>
          <c:showPercent val="0"/>
          <c:showBubbleSize val="0"/>
        </c:dLbls>
        <c:gapWidth val="65"/>
        <c:axId val="1419831487"/>
        <c:axId val="1419831967"/>
      </c:barChart>
      <c:catAx>
        <c:axId val="14198314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9831967"/>
        <c:crosses val="autoZero"/>
        <c:auto val="1"/>
        <c:lblAlgn val="ctr"/>
        <c:lblOffset val="100"/>
        <c:noMultiLvlLbl val="0"/>
      </c:catAx>
      <c:valAx>
        <c:axId val="1419831967"/>
        <c:scaling>
          <c:orientation val="minMax"/>
          <c:max val="4"/>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one"/>
        <c:crossAx val="141983148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[Bagels &amp; Boba Cafe Customer Experience Survey(1-6).xlsx]Customer Visit Frequency!PivotTable4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Visit</a:t>
            </a:r>
            <a:r>
              <a:rPr lang="en-US" baseline="0"/>
              <a:t> Frequency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'Customer Visit Frequency'!$B$1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dPt>
          <c:dPt>
            <c:idx val="1"/>
            <c:bubble3D val="0"/>
            <c:spPr>
              <a:solidFill>
                <a:schemeClr val="accent4"/>
              </a:solidFill>
              <a:ln>
                <a:noFill/>
              </a:ln>
              <a:effectLst>
                <a:outerShdw blurRad="254000" sx="102000" sy="102000" algn="ctr" rotWithShape="0">
                  <a:prstClr val="black">
                    <a:alpha val="20000"/>
                  </a:prstClr>
                </a:outerShdw>
              </a:effectLst>
            </c:spPr>
          </c:dPt>
          <c:dPt>
            <c:idx val="2"/>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Visit Frequency'!$A$2:$A$5</c:f>
              <c:strCache>
                <c:ptCount val="3"/>
                <c:pt idx="0">
                  <c:v>Daily</c:v>
                </c:pt>
                <c:pt idx="1">
                  <c:v>Monthly</c:v>
                </c:pt>
                <c:pt idx="2">
                  <c:v>Weekly</c:v>
                </c:pt>
              </c:strCache>
            </c:strRef>
          </c:cat>
          <c:val>
            <c:numRef>
              <c:f>'Customer Visit Frequency'!$B$2:$B$5</c:f>
              <c:numCache>
                <c:formatCode>General</c:formatCode>
                <c:ptCount val="3"/>
                <c:pt idx="0">
                  <c:v>1</c:v>
                </c:pt>
                <c:pt idx="1">
                  <c:v>1</c:v>
                </c:pt>
                <c:pt idx="2">
                  <c:v>4</c:v>
                </c:pt>
              </c:numCache>
            </c:numRef>
          </c:val>
          <c:extLst>
            <c:ext xmlns:c16="http://schemas.microsoft.com/office/drawing/2014/chart" uri="{C3380CC4-5D6E-409C-BE32-E72D297353CC}">
              <c16:uniqueId val="{00000000-33F2-47DF-855A-F11F2E7E25D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321741032370949"/>
          <c:y val="0.53097039953339165"/>
          <c:w val="0.22344925634295712"/>
          <c:h val="0.284145158938466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90D73AD4-3CBD-6F3F-8D94-21092003D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1</xdr:row>
      <xdr:rowOff>19050</xdr:rowOff>
    </xdr:from>
    <xdr:to>
      <xdr:col>10</xdr:col>
      <xdr:colOff>323850</xdr:colOff>
      <xdr:row>16</xdr:row>
      <xdr:rowOff>0</xdr:rowOff>
    </xdr:to>
    <xdr:graphicFrame macro="">
      <xdr:nvGraphicFramePr>
        <xdr:cNvPr id="2" name="Chart 1">
          <a:extLst>
            <a:ext uri="{FF2B5EF4-FFF2-40B4-BE49-F238E27FC236}">
              <a16:creationId xmlns:a16="http://schemas.microsoft.com/office/drawing/2014/main" id="{FD778E2A-60B0-A8C4-ADA7-65634A9E2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241300</xdr:colOff>
      <xdr:row>1</xdr:row>
      <xdr:rowOff>165100</xdr:rowOff>
    </xdr:from>
    <xdr:to>
      <xdr:col>9</xdr:col>
      <xdr:colOff>12700</xdr:colOff>
      <xdr:row>23</xdr:row>
      <xdr:rowOff>31750</xdr:rowOff>
    </xdr:to>
    <xdr:sp macro="" textlink="">
      <xdr:nvSpPr>
        <xdr:cNvPr id="2" name="TextBox 1">
          <a:extLst>
            <a:ext uri="{FF2B5EF4-FFF2-40B4-BE49-F238E27FC236}">
              <a16:creationId xmlns:a16="http://schemas.microsoft.com/office/drawing/2014/main" id="{0E0A94AA-AFA0-8A6F-5198-F24E51C3CDF0}"/>
            </a:ext>
          </a:extLst>
        </xdr:cNvPr>
        <xdr:cNvSpPr txBox="1"/>
      </xdr:nvSpPr>
      <xdr:spPr>
        <a:xfrm>
          <a:off x="850900" y="349250"/>
          <a:ext cx="4648200" cy="3917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survey's findings suggest that Bagels &amp; Boba has loyal customers and high customer satisfaction. The majority of clients visit on a weekly basis, according to the visit frequency chart, which indicates steady customer retention and repeat business. Bagel sandwiches and specialty drinks are the most often requested items, according to the purchase trends chart, making them important products that influence consumer demand.</a:t>
          </a:r>
        </a:p>
        <a:p>
          <a:endParaRPr lang="en-US" sz="1100"/>
        </a:p>
        <a:p>
          <a:r>
            <a:rPr lang="en-US"/>
            <a:t>Customers are also quite pleased with the meal and the overall experience, as evidenced by the 4.5 overall satisfaction rating and the 4.8 ratings for speed of service and quality of service. In light of these findings, I recommend continuing to focus on maintaining fast service and high-quality offerings, especially the most popular items. In order to satisfy consumer demand and prevent missed sales opportunities, it's also critical to ensure that the best-selling products, including bagel sandwiches and specialty drinks, are consistently available.</a:t>
          </a:r>
        </a:p>
        <a:p>
          <a:endParaRPr lang="en-US" sz="1100"/>
        </a:p>
        <a:p>
          <a:r>
            <a:rPr lang="en-US"/>
            <a:t>Additionally, survey responses indicate that consumers would like greater discounts and a rewards program. In order to promote repeat business and improve client retention, I advise implementing a customer rewards or loyalty program. Point-based incentives, discounts following a predetermined amount of orders, or exclusive deals on commonly ordered goods are a few examples of this.</a:t>
          </a:r>
          <a:endParaRPr lang="en-US" sz="110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21.99277650463" createdVersion="8" refreshedVersion="8" minRefreshableVersion="3" recordCount="12" xr:uid="{03942469-830D-4271-BECD-0DE843ADADCE}">
  <cacheSource type="worksheet">
    <worksheetSource name="Table1"/>
  </cacheSource>
  <cacheFields count="13">
    <cacheField name="ID" numFmtId="0">
      <sharedItems containsString="0" containsBlank="1" containsNumber="1" containsInteger="1" minValue="1" maxValue="6"/>
    </cacheField>
    <cacheField name="Start time" numFmtId="167">
      <sharedItems containsNonDate="0" containsDate="1" containsString="0" containsBlank="1" minDate="2026-04-08T13:48:58" maxDate="2026-04-08T22:34:49"/>
    </cacheField>
    <cacheField name="Completion time" numFmtId="167">
      <sharedItems containsNonDate="0" containsDate="1" containsString="0" containsBlank="1" minDate="2026-04-08T13:51:12" maxDate="2026-04-08T22:36:49"/>
    </cacheField>
    <cacheField name="Time to Complete" numFmtId="45">
      <sharedItems containsNonDate="0" containsDate="1" containsString="0" containsBlank="1" minDate="1899-12-30T00:00:27" maxDate="1899-12-30T00:02:48"/>
    </cacheField>
    <cacheField name="Email" numFmtId="0">
      <sharedItems containsBlank="1"/>
    </cacheField>
    <cacheField name="Name" numFmtId="0">
      <sharedItems containsNonDate="0" containsString="0" containsBlank="1"/>
    </cacheField>
    <cacheField name="Last modified time" numFmtId="164">
      <sharedItems containsNonDate="0" containsString="0" containsBlank="1"/>
    </cacheField>
    <cacheField name="How often do you visit Bagels &amp; Boba?" numFmtId="0">
      <sharedItems containsBlank="1" count="4">
        <s v="Weekly"/>
        <s v="Daily"/>
        <m/>
        <s v="Monthly"/>
      </sharedItems>
    </cacheField>
    <cacheField name="What do you usually purchase?" numFmtId="0">
      <sharedItems count="5">
        <s v="Snacks / sides"/>
        <s v="Bagel sandwiches"/>
        <s v="Salads"/>
        <s v="Specialty drinks"/>
        <s v="Desserts"/>
      </sharedItems>
    </cacheField>
    <cacheField name="How satisfied were you with your most recent visit? 1 star = Very dissatisfied / 5 stars = Very satisfied" numFmtId="0">
      <sharedItems containsString="0" containsBlank="1" containsNumber="1" containsInteger="1" minValue="3" maxValue="5" count="4">
        <n v="5"/>
        <m/>
        <n v="3"/>
        <n v="4"/>
      </sharedItems>
    </cacheField>
    <cacheField name="How would you rate the speed and overall quality of the service? 1 star = Very dissatisfied / 5 stars = Very satisfied" numFmtId="0">
      <sharedItems containsString="0" containsBlank="1" containsNumber="1" containsInteger="1" minValue="4" maxValue="5" count="3">
        <n v="4"/>
        <n v="5"/>
        <m/>
      </sharedItems>
    </cacheField>
    <cacheField name="What matters most to you when choosing this location?" numFmtId="0">
      <sharedItems containsBlank="1"/>
    </cacheField>
    <cacheField name="What is one thing you would like to improve?" numFmtId="0">
      <sharedItems containsBlank="1" count="7">
        <s v="N/A"/>
        <s v="Discounts and specials!"/>
        <m/>
        <s v="I've always had positive experiences when visiting the store, the staff are always friendly and the atmosphere is great. One improvement I could think of is the service during busy times could be faster."/>
        <s v="I will say that while my drink came to me in a timely manner, it felt a little lackluster, but overall I did love the croissant that I received. "/>
        <s v="more flavor boba options"/>
        <s v="Add more deal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d v="2026-04-08T13:48:58"/>
    <d v="2026-04-08T13:51:12"/>
    <d v="1899-12-30T00:02:14"/>
    <s v="anonymous"/>
    <m/>
    <m/>
    <x v="0"/>
    <x v="0"/>
    <x v="0"/>
    <x v="0"/>
    <s v="Taste / Quality;Price;Convenience / location;Customer service;Speed of service;Menu variety;"/>
    <x v="0"/>
  </r>
  <r>
    <n v="2"/>
    <d v="2026-04-08T13:52:39"/>
    <d v="2026-04-08T13:54:27"/>
    <d v="1899-12-30T00:01:48"/>
    <s v="anonymous"/>
    <m/>
    <m/>
    <x v="1"/>
    <x v="1"/>
    <x v="0"/>
    <x v="1"/>
    <s v="Price;Taste / Quality;Customer service;Menu variety;"/>
    <x v="1"/>
  </r>
  <r>
    <m/>
    <m/>
    <m/>
    <m/>
    <m/>
    <m/>
    <m/>
    <x v="2"/>
    <x v="2"/>
    <x v="1"/>
    <x v="2"/>
    <m/>
    <x v="2"/>
  </r>
  <r>
    <m/>
    <m/>
    <m/>
    <m/>
    <m/>
    <m/>
    <m/>
    <x v="2"/>
    <x v="3"/>
    <x v="1"/>
    <x v="2"/>
    <m/>
    <x v="2"/>
  </r>
  <r>
    <n v="3"/>
    <d v="2026-04-08T16:18:09"/>
    <d v="2026-04-08T16:20:57"/>
    <d v="1899-12-30T00:02:48"/>
    <s v="anonymous"/>
    <m/>
    <m/>
    <x v="0"/>
    <x v="1"/>
    <x v="0"/>
    <x v="1"/>
    <s v="Taste / Quality;Convenience / location;Customer service;"/>
    <x v="3"/>
  </r>
  <r>
    <m/>
    <m/>
    <m/>
    <m/>
    <m/>
    <m/>
    <m/>
    <x v="2"/>
    <x v="3"/>
    <x v="1"/>
    <x v="2"/>
    <m/>
    <x v="2"/>
  </r>
  <r>
    <m/>
    <m/>
    <m/>
    <m/>
    <m/>
    <m/>
    <m/>
    <x v="2"/>
    <x v="0"/>
    <x v="1"/>
    <x v="2"/>
    <m/>
    <x v="2"/>
  </r>
  <r>
    <n v="4"/>
    <d v="2026-04-08T16:20:36"/>
    <d v="2026-04-08T16:22:28"/>
    <d v="1899-12-30T00:01:52"/>
    <s v="anonymous"/>
    <m/>
    <m/>
    <x v="0"/>
    <x v="3"/>
    <x v="2"/>
    <x v="1"/>
    <s v="Taste / Quality;Price;Speed of service;Menu variety;"/>
    <x v="4"/>
  </r>
  <r>
    <n v="5"/>
    <d v="2026-04-08T19:12:26"/>
    <d v="2026-04-08T19:12:53"/>
    <d v="1899-12-30T00:00:27"/>
    <s v="anonymous"/>
    <m/>
    <m/>
    <x v="0"/>
    <x v="4"/>
    <x v="0"/>
    <x v="1"/>
    <s v="Price;"/>
    <x v="5"/>
  </r>
  <r>
    <m/>
    <m/>
    <m/>
    <m/>
    <m/>
    <m/>
    <m/>
    <x v="2"/>
    <x v="1"/>
    <x v="1"/>
    <x v="2"/>
    <m/>
    <x v="2"/>
  </r>
  <r>
    <n v="6"/>
    <d v="2026-04-08T22:34:49"/>
    <d v="2026-04-08T22:36:49"/>
    <d v="1899-12-30T00:02:00"/>
    <s v="anonymous"/>
    <m/>
    <m/>
    <x v="3"/>
    <x v="1"/>
    <x v="3"/>
    <x v="1"/>
    <s v="Menu variety;Price;"/>
    <x v="6"/>
  </r>
  <r>
    <m/>
    <m/>
    <m/>
    <m/>
    <m/>
    <m/>
    <m/>
    <x v="2"/>
    <x v="4"/>
    <x v="1"/>
    <x v="2"/>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7FB2D5-CF04-42D4-BA21-509E3016B7AB}"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enu Items">
  <location ref="A1:B7" firstHeaderRow="1" firstDataRow="1" firstDataCol="1"/>
  <pivotFields count="13">
    <pivotField showAll="0"/>
    <pivotField showAll="0"/>
    <pivotField showAll="0"/>
    <pivotField showAll="0"/>
    <pivotField showAll="0"/>
    <pivotField showAll="0"/>
    <pivotField showAll="0"/>
    <pivotField showAll="0"/>
    <pivotField axis="axisRow" dataField="1" showAll="0">
      <items count="6">
        <item x="1"/>
        <item x="4"/>
        <item x="2"/>
        <item x="0"/>
        <item x="3"/>
        <item t="default"/>
      </items>
    </pivotField>
    <pivotField showAll="0"/>
    <pivotField showAll="0"/>
    <pivotField showAll="0"/>
    <pivotField showAll="0"/>
  </pivotFields>
  <rowFields count="1">
    <field x="8"/>
  </rowFields>
  <rowItems count="6">
    <i>
      <x/>
    </i>
    <i>
      <x v="1"/>
    </i>
    <i>
      <x v="2"/>
    </i>
    <i>
      <x v="3"/>
    </i>
    <i>
      <x v="4"/>
    </i>
    <i t="grand">
      <x/>
    </i>
  </rowItems>
  <colItems count="1">
    <i/>
  </colItems>
  <dataFields count="1">
    <dataField name="Count of What do you usually purchase?"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4F52CE-907F-42E3-BC3D-F15187F927BA}"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13">
    <pivotField showAll="0"/>
    <pivotField showAll="0"/>
    <pivotField showAll="0"/>
    <pivotField showAll="0"/>
    <pivotField showAll="0"/>
    <pivotField showAll="0"/>
    <pivotField showAll="0"/>
    <pivotField axis="axisRow" dataField="1" showAll="0">
      <items count="5">
        <item x="1"/>
        <item x="3"/>
        <item x="0"/>
        <item h="1" x="2"/>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s>
  <rowFields count="1">
    <field x="7"/>
  </rowFields>
  <rowItems count="4">
    <i>
      <x/>
    </i>
    <i>
      <x v="1"/>
    </i>
    <i>
      <x v="2"/>
    </i>
    <i t="grand">
      <x/>
    </i>
  </rowItems>
  <colItems count="1">
    <i/>
  </colItems>
  <dataFields count="1">
    <dataField name="Count of How often do you visit Bagels &amp; Boba?"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4" totalsRowCount="1" headerRowDxfId="5" dataDxfId="6" totalsRowDxfId="7">
  <autoFilter ref="A1:K13" xr:uid="{00000000-0009-0000-0100-000001000000}"/>
  <tableColumns count="11">
    <tableColumn id="1" xr3:uid="{00000000-0010-0000-0000-000001000000}" name="ID" dataDxfId="24" totalsRowDxfId="23"/>
    <tableColumn id="2" xr3:uid="{00000000-0010-0000-0000-000002000000}" name="Start time" dataDxfId="22" totalsRowDxfId="21"/>
    <tableColumn id="3" xr3:uid="{00000000-0010-0000-0000-000003000000}" name="Completion time" dataDxfId="20" totalsRowDxfId="19"/>
    <tableColumn id="13" xr3:uid="{9FCD93B7-89BF-469A-84E1-397C757C06BC}" name="Time to Complete" totalsRowFunction="custom" dataDxfId="18" totalsRowDxfId="17">
      <calculatedColumnFormula>C2-B2</calculatedColumnFormula>
      <totalsRowFormula>AVERAGE(Table1[Time to Complete])</totalsRowFormula>
    </tableColumn>
    <tableColumn id="4" xr3:uid="{00000000-0010-0000-0000-000004000000}" name="Email" dataDxfId="16" totalsRowDxfId="15"/>
    <tableColumn id="7" xr3:uid="{00000000-0010-0000-0000-000007000000}" name="How often do you visit Bagels &amp; Boba?" totalsRowFunction="custom" dataDxfId="14" totalsRowDxfId="13">
      <totalsRowFormula>COUNTIF(F2:F13, "Weekly")</totalsRowFormula>
    </tableColumn>
    <tableColumn id="8" xr3:uid="{00000000-0010-0000-0000-000008000000}" name="What do you usually purchase?" dataDxfId="12" totalsRowDxfId="11"/>
    <tableColumn id="9" xr3:uid="{00000000-0010-0000-0000-000009000000}" name="How satisfied were you with your most recent visit? 1 star = Very dissatisfied / 5 stars = Very satisfied" totalsRowFunction="average" dataDxfId="10" totalsRowDxfId="9"/>
    <tableColumn id="10" xr3:uid="{00000000-0010-0000-0000-00000A000000}" name="How would you rate the speed and overall quality of the service? 1 star = Very dissatisfied / 5 stars = Very satisfied" totalsRowFunction="average" dataDxfId="4" totalsRowDxfId="8"/>
    <tableColumn id="11" xr3:uid="{00000000-0010-0000-0000-00000B000000}" name="What matters most to you when choosing this location?" dataDxfId="2" totalsRowDxfId="3"/>
    <tableColumn id="12" xr3:uid="{00000000-0010-0000-0000-00000C000000}" name="What is one thing you would like to improve?" dataDxfId="1" totalsRow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workbookViewId="0">
      <selection activeCell="C15" sqref="C15"/>
    </sheetView>
  </sheetViews>
  <sheetFormatPr defaultRowHeight="14.5" x14ac:dyDescent="0.35"/>
  <cols>
    <col min="1" max="1" width="4.90625" style="4" bestFit="1" customWidth="1"/>
    <col min="2" max="2" width="18.1796875" style="4" bestFit="1" customWidth="1"/>
    <col min="3" max="3" width="19.453125" style="4" bestFit="1" customWidth="1"/>
    <col min="4" max="4" width="13.453125" style="4" bestFit="1" customWidth="1"/>
    <col min="5" max="5" width="10.6328125" style="4" bestFit="1" customWidth="1"/>
    <col min="6" max="6" width="21.1796875" style="4" customWidth="1"/>
    <col min="7" max="7" width="19.54296875" style="4" customWidth="1"/>
    <col min="8" max="8" width="33.90625" style="4" customWidth="1"/>
    <col min="9" max="9" width="40.90625" style="4" customWidth="1"/>
    <col min="10" max="10" width="44" style="6" customWidth="1"/>
    <col min="11" max="11" width="71.90625" style="6" customWidth="1"/>
    <col min="12" max="16384" width="8.7265625" style="4"/>
  </cols>
  <sheetData>
    <row r="1" spans="1:11" s="10" customFormat="1" ht="43.5" x14ac:dyDescent="0.35">
      <c r="A1" s="10" t="s">
        <v>0</v>
      </c>
      <c r="B1" s="11" t="s">
        <v>1</v>
      </c>
      <c r="C1" s="10" t="s">
        <v>2</v>
      </c>
      <c r="D1" s="12" t="s">
        <v>26</v>
      </c>
      <c r="E1" s="10" t="s">
        <v>3</v>
      </c>
      <c r="F1" s="12" t="s">
        <v>4</v>
      </c>
      <c r="G1" s="12" t="s">
        <v>5</v>
      </c>
      <c r="H1" s="12" t="s">
        <v>6</v>
      </c>
      <c r="I1" s="12" t="s">
        <v>7</v>
      </c>
      <c r="J1" s="12" t="s">
        <v>8</v>
      </c>
      <c r="K1" s="12" t="s">
        <v>9</v>
      </c>
    </row>
    <row r="2" spans="1:11" ht="43.5" x14ac:dyDescent="0.35">
      <c r="A2" s="4">
        <v>1</v>
      </c>
      <c r="B2" s="5">
        <v>46120.575671296298</v>
      </c>
      <c r="C2" s="5">
        <v>46120.5772222222</v>
      </c>
      <c r="D2" s="7">
        <f t="shared" ref="D2:D12" si="0">C2-B2</f>
        <v>1.5509259028476663E-3</v>
      </c>
      <c r="E2" s="4" t="s">
        <v>10</v>
      </c>
      <c r="F2" s="4" t="s">
        <v>11</v>
      </c>
      <c r="G2" s="4" t="s">
        <v>30</v>
      </c>
      <c r="H2" s="4">
        <v>5</v>
      </c>
      <c r="I2" s="4">
        <v>4</v>
      </c>
      <c r="J2" s="6" t="s">
        <v>12</v>
      </c>
      <c r="K2" s="6" t="s">
        <v>13</v>
      </c>
    </row>
    <row r="3" spans="1:11" ht="29" x14ac:dyDescent="0.35">
      <c r="A3" s="4">
        <v>2</v>
      </c>
      <c r="B3" s="5">
        <v>46120.578229166698</v>
      </c>
      <c r="C3" s="5">
        <v>46120.579479166699</v>
      </c>
      <c r="D3" s="7">
        <f t="shared" si="0"/>
        <v>1.2500000011641532E-3</v>
      </c>
      <c r="E3" s="4" t="s">
        <v>10</v>
      </c>
      <c r="F3" s="4" t="s">
        <v>14</v>
      </c>
      <c r="G3" s="4" t="s">
        <v>31</v>
      </c>
      <c r="H3" s="4">
        <v>5</v>
      </c>
      <c r="I3" s="4">
        <v>5</v>
      </c>
      <c r="J3" s="6" t="s">
        <v>15</v>
      </c>
      <c r="K3" s="6" t="s">
        <v>16</v>
      </c>
    </row>
    <row r="4" spans="1:11" x14ac:dyDescent="0.35">
      <c r="A4" s="8"/>
      <c r="B4" s="5"/>
      <c r="C4" s="5"/>
      <c r="D4" s="7"/>
      <c r="E4" s="8"/>
      <c r="F4" s="8"/>
      <c r="G4" s="4" t="s">
        <v>32</v>
      </c>
      <c r="H4" s="8"/>
      <c r="I4" s="8"/>
      <c r="J4" s="13"/>
      <c r="K4" s="13"/>
    </row>
    <row r="5" spans="1:11" x14ac:dyDescent="0.35">
      <c r="A5" s="8"/>
      <c r="B5" s="5"/>
      <c r="C5" s="5"/>
      <c r="D5" s="7"/>
      <c r="E5" s="8"/>
      <c r="F5" s="8"/>
      <c r="G5" s="4" t="s">
        <v>33</v>
      </c>
      <c r="H5" s="8"/>
      <c r="I5" s="8"/>
      <c r="J5" s="13"/>
      <c r="K5" s="13"/>
    </row>
    <row r="6" spans="1:11" ht="43.5" x14ac:dyDescent="0.35">
      <c r="A6" s="4">
        <v>3</v>
      </c>
      <c r="B6" s="5">
        <v>46120.679270833301</v>
      </c>
      <c r="C6" s="5">
        <v>46120.6812152778</v>
      </c>
      <c r="D6" s="7">
        <f t="shared" si="0"/>
        <v>1.9444444988039322E-3</v>
      </c>
      <c r="E6" s="4" t="s">
        <v>10</v>
      </c>
      <c r="F6" s="4" t="s">
        <v>11</v>
      </c>
      <c r="G6" s="4" t="s">
        <v>31</v>
      </c>
      <c r="H6" s="4">
        <v>5</v>
      </c>
      <c r="I6" s="4">
        <v>5</v>
      </c>
      <c r="J6" s="6" t="s">
        <v>17</v>
      </c>
      <c r="K6" s="6" t="s">
        <v>18</v>
      </c>
    </row>
    <row r="7" spans="1:11" x14ac:dyDescent="0.35">
      <c r="A7" s="8"/>
      <c r="B7" s="5"/>
      <c r="C7" s="5"/>
      <c r="D7" s="7"/>
      <c r="E7" s="8"/>
      <c r="F7" s="8"/>
      <c r="G7" s="4" t="s">
        <v>33</v>
      </c>
      <c r="H7" s="8"/>
      <c r="I7" s="8"/>
      <c r="J7" s="13"/>
      <c r="K7" s="13"/>
    </row>
    <row r="8" spans="1:11" x14ac:dyDescent="0.35">
      <c r="A8" s="8"/>
      <c r="B8" s="5"/>
      <c r="C8" s="5"/>
      <c r="D8" s="7"/>
      <c r="E8" s="8"/>
      <c r="F8" s="8"/>
      <c r="G8" s="4" t="s">
        <v>30</v>
      </c>
      <c r="H8" s="8"/>
      <c r="I8" s="8"/>
      <c r="J8" s="13"/>
      <c r="K8" s="13"/>
    </row>
    <row r="9" spans="1:11" ht="29" x14ac:dyDescent="0.35">
      <c r="A9" s="4">
        <v>4</v>
      </c>
      <c r="B9" s="5">
        <v>46120.680972222202</v>
      </c>
      <c r="C9" s="5">
        <v>46120.682268518503</v>
      </c>
      <c r="D9" s="7">
        <f t="shared" si="0"/>
        <v>1.2962963010068052E-3</v>
      </c>
      <c r="E9" s="4" t="s">
        <v>10</v>
      </c>
      <c r="F9" s="4" t="s">
        <v>11</v>
      </c>
      <c r="G9" s="4" t="s">
        <v>33</v>
      </c>
      <c r="H9" s="4">
        <v>3</v>
      </c>
      <c r="I9" s="4">
        <v>5</v>
      </c>
      <c r="J9" s="6" t="s">
        <v>19</v>
      </c>
      <c r="K9" s="6" t="s">
        <v>20</v>
      </c>
    </row>
    <row r="10" spans="1:11" x14ac:dyDescent="0.35">
      <c r="A10" s="4">
        <v>5</v>
      </c>
      <c r="B10" s="5">
        <v>46120.800300925897</v>
      </c>
      <c r="C10" s="5">
        <v>46120.800613425898</v>
      </c>
      <c r="D10" s="7">
        <f t="shared" si="0"/>
        <v>3.125000002910383E-4</v>
      </c>
      <c r="E10" s="4" t="s">
        <v>10</v>
      </c>
      <c r="F10" s="4" t="s">
        <v>11</v>
      </c>
      <c r="G10" s="4" t="s">
        <v>34</v>
      </c>
      <c r="H10" s="4">
        <v>5</v>
      </c>
      <c r="I10" s="4">
        <v>5</v>
      </c>
      <c r="J10" s="6" t="s">
        <v>21</v>
      </c>
      <c r="K10" s="6" t="s">
        <v>22</v>
      </c>
    </row>
    <row r="11" spans="1:11" x14ac:dyDescent="0.35">
      <c r="A11" s="8"/>
      <c r="B11" s="5"/>
      <c r="C11" s="5"/>
      <c r="D11" s="7"/>
      <c r="E11" s="8"/>
      <c r="F11" s="8"/>
      <c r="G11" s="4" t="s">
        <v>31</v>
      </c>
      <c r="H11" s="8"/>
      <c r="I11" s="8"/>
      <c r="J11" s="13"/>
      <c r="K11" s="13"/>
    </row>
    <row r="12" spans="1:11" x14ac:dyDescent="0.35">
      <c r="A12" s="4">
        <v>6</v>
      </c>
      <c r="B12" s="5">
        <v>46120.940844907404</v>
      </c>
      <c r="C12" s="5">
        <v>46120.942233796297</v>
      </c>
      <c r="D12" s="7">
        <f t="shared" si="0"/>
        <v>1.3888888934161514E-3</v>
      </c>
      <c r="E12" s="4" t="s">
        <v>10</v>
      </c>
      <c r="F12" s="4" t="s">
        <v>23</v>
      </c>
      <c r="G12" s="4" t="s">
        <v>31</v>
      </c>
      <c r="H12" s="4">
        <v>4</v>
      </c>
      <c r="I12" s="4">
        <v>5</v>
      </c>
      <c r="J12" s="6" t="s">
        <v>24</v>
      </c>
      <c r="K12" s="6" t="s">
        <v>25</v>
      </c>
    </row>
    <row r="13" spans="1:11" x14ac:dyDescent="0.35">
      <c r="A13" s="8"/>
      <c r="B13" s="5"/>
      <c r="C13" s="5"/>
      <c r="D13" s="7"/>
      <c r="E13" s="8"/>
      <c r="F13" s="8"/>
      <c r="G13" s="4" t="s">
        <v>34</v>
      </c>
      <c r="H13" s="8"/>
      <c r="I13" s="8"/>
      <c r="J13" s="13"/>
      <c r="K13" s="13"/>
    </row>
    <row r="14" spans="1:11" x14ac:dyDescent="0.35">
      <c r="A14" s="8"/>
      <c r="B14" s="5"/>
      <c r="C14" s="5"/>
      <c r="D14" s="7">
        <f>AVERAGE(Table1[Time to Complete])</f>
        <v>1.2905092662549578E-3</v>
      </c>
      <c r="E14" s="8"/>
      <c r="F14" s="8">
        <f>COUNTIF(F2:F13, "Weekly")</f>
        <v>4</v>
      </c>
      <c r="G14" s="8"/>
      <c r="H14" s="8">
        <f>SUBTOTAL(101,Table1[How satisfied were you with your most recent visit? 1 star = Very dissatisfied / 5 stars = Very satisfied])</f>
        <v>4.5</v>
      </c>
      <c r="I14" s="9">
        <f>SUBTOTAL(101,Table1[How would you rate the speed and overall quality of the service? 1 star = Very dissatisfied / 5 stars = Very satisfied])</f>
        <v>4.833333333333333</v>
      </c>
      <c r="J14" s="13"/>
      <c r="K14" s="13"/>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00F2-776C-4725-8B4A-34AE13468DFF}">
  <dimension ref="A1:B7"/>
  <sheetViews>
    <sheetView workbookViewId="0">
      <selection activeCell="C13" sqref="C13"/>
    </sheetView>
  </sheetViews>
  <sheetFormatPr defaultRowHeight="14.5" x14ac:dyDescent="0.35"/>
  <cols>
    <col min="1" max="1" width="15.453125" bestFit="1" customWidth="1"/>
    <col min="2" max="2" width="35.1796875" bestFit="1" customWidth="1"/>
  </cols>
  <sheetData>
    <row r="1" spans="1:2" x14ac:dyDescent="0.35">
      <c r="A1" s="2" t="s">
        <v>35</v>
      </c>
      <c r="B1" t="s">
        <v>29</v>
      </c>
    </row>
    <row r="2" spans="1:2" x14ac:dyDescent="0.35">
      <c r="A2" s="3" t="s">
        <v>31</v>
      </c>
      <c r="B2" s="1">
        <v>4</v>
      </c>
    </row>
    <row r="3" spans="1:2" x14ac:dyDescent="0.35">
      <c r="A3" s="3" t="s">
        <v>34</v>
      </c>
      <c r="B3" s="1">
        <v>2</v>
      </c>
    </row>
    <row r="4" spans="1:2" x14ac:dyDescent="0.35">
      <c r="A4" s="3" t="s">
        <v>32</v>
      </c>
      <c r="B4" s="1">
        <v>1</v>
      </c>
    </row>
    <row r="5" spans="1:2" x14ac:dyDescent="0.35">
      <c r="A5" s="3" t="s">
        <v>30</v>
      </c>
      <c r="B5" s="1">
        <v>2</v>
      </c>
    </row>
    <row r="6" spans="1:2" x14ac:dyDescent="0.35">
      <c r="A6" s="3" t="s">
        <v>33</v>
      </c>
      <c r="B6" s="1">
        <v>3</v>
      </c>
    </row>
    <row r="7" spans="1:2" x14ac:dyDescent="0.35">
      <c r="A7" s="3" t="s">
        <v>28</v>
      </c>
      <c r="B7" s="1">
        <v>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2A84F-82E6-4113-A949-E29B98D57C88}">
  <dimension ref="A1:B5"/>
  <sheetViews>
    <sheetView workbookViewId="0">
      <selection activeCell="B13" sqref="B13"/>
    </sheetView>
  </sheetViews>
  <sheetFormatPr defaultRowHeight="14.5" x14ac:dyDescent="0.35"/>
  <cols>
    <col min="1" max="1" width="12.36328125" bestFit="1" customWidth="1"/>
    <col min="2" max="2" width="41.26953125" bestFit="1" customWidth="1"/>
  </cols>
  <sheetData>
    <row r="1" spans="1:2" x14ac:dyDescent="0.35">
      <c r="A1" s="2" t="s">
        <v>27</v>
      </c>
      <c r="B1" t="s">
        <v>36</v>
      </c>
    </row>
    <row r="2" spans="1:2" x14ac:dyDescent="0.35">
      <c r="A2" s="3" t="s">
        <v>14</v>
      </c>
      <c r="B2" s="1">
        <v>1</v>
      </c>
    </row>
    <row r="3" spans="1:2" x14ac:dyDescent="0.35">
      <c r="A3" s="3" t="s">
        <v>23</v>
      </c>
      <c r="B3" s="1">
        <v>1</v>
      </c>
    </row>
    <row r="4" spans="1:2" x14ac:dyDescent="0.35">
      <c r="A4" s="3" t="s">
        <v>11</v>
      </c>
      <c r="B4" s="1">
        <v>4</v>
      </c>
    </row>
    <row r="5" spans="1:2" x14ac:dyDescent="0.35">
      <c r="A5" s="3" t="s">
        <v>28</v>
      </c>
      <c r="B5" s="1">
        <v>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FB490-3189-4E33-A562-0AB8DA254407}">
  <dimension ref="A1"/>
  <sheetViews>
    <sheetView workbookViewId="0">
      <selection activeCell="H26" sqref="H26"/>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Survey_Responses</vt:lpstr>
      <vt:lpstr>Most Purchased Items</vt:lpstr>
      <vt:lpstr>Customer Visit Frequency</vt:lpstr>
      <vt:lpstr>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marenza santarin</cp:lastModifiedBy>
  <dcterms:created xsi:type="dcterms:W3CDTF">2026-04-10T03:19:46Z</dcterms:created>
  <dcterms:modified xsi:type="dcterms:W3CDTF">2026-04-10T04:30:03Z</dcterms:modified>
</cp:coreProperties>
</file>