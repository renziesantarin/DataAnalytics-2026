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7.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Users\marenzasantarin\OneDrive - Year Up- BOS\Documents\DataAnalytics\week-03\Class_Exercises\Northwind_StoryTellingEX1\"/>
    </mc:Choice>
  </mc:AlternateContent>
  <xr:revisionPtr revIDLastSave="0" documentId="13_ncr:1_{C95EFE58-2452-49BF-9A97-643ED46A997A}" xr6:coauthVersionLast="47" xr6:coauthVersionMax="47" xr10:uidLastSave="{00000000-0000-0000-0000-000000000000}"/>
  <bookViews>
    <workbookView xWindow="28680" yWindow="-120" windowWidth="29040" windowHeight="15720" tabRatio="806" xr2:uid="{7EF2555C-D194-4928-9B1E-821D61F41473}"/>
  </bookViews>
  <sheets>
    <sheet name="Dashboard" sheetId="8" r:id="rId1"/>
    <sheet name="Executive Summary" sheetId="11" r:id="rId2"/>
    <sheet name="Insights &amp; Recommendation" sheetId="9" r:id="rId3"/>
    <sheet name="Dataset" sheetId="2" r:id="rId4"/>
    <sheet name="Summary Metrics" sheetId="10" r:id="rId5"/>
    <sheet name="Revenue by Product Category" sheetId="1" r:id="rId6"/>
    <sheet name="Monthly Revenue Trend" sheetId="3" r:id="rId7"/>
    <sheet name="Top Sales Employees" sheetId="5" r:id="rId8"/>
    <sheet name="Revenue by Ship Country" sheetId="6" r:id="rId9"/>
    <sheet name="Category Revenue" sheetId="7" r:id="rId10"/>
  </sheets>
  <calcPr calcId="191029"/>
  <pivotCaches>
    <pivotCache cacheId="0" r:id="rId11"/>
    <pivotCache cacheId="1" r:id="rId12"/>
    <pivotCache cacheId="2" r:id="rId13"/>
    <pivotCache cacheId="3" r:id="rId14"/>
    <pivotCache cacheId="4" r:id="rId1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5" i="8" l="1"/>
  <c r="L5" i="8"/>
  <c r="G5" i="8"/>
  <c r="B5" i="8"/>
  <c r="D3" i="10"/>
  <c r="E3" i="10"/>
  <c r="C3" i="10"/>
  <c r="B3" i="10"/>
</calcChain>
</file>

<file path=xl/sharedStrings.xml><?xml version="1.0" encoding="utf-8"?>
<sst xmlns="http://schemas.openxmlformats.org/spreadsheetml/2006/main" count="159" uniqueCount="79">
  <si>
    <t>CategoryName</t>
  </si>
  <si>
    <t>Total_Revenue</t>
  </si>
  <si>
    <t>Total_Orders</t>
  </si>
  <si>
    <t>Average_Order_Value</t>
  </si>
  <si>
    <t>Total_Units_Sold</t>
  </si>
  <si>
    <t>Grains/Cereals</t>
  </si>
  <si>
    <t>Produce</t>
  </si>
  <si>
    <t>Condiments</t>
  </si>
  <si>
    <t>Seafood</t>
  </si>
  <si>
    <t>Confections</t>
  </si>
  <si>
    <t>Meat/Poultry</t>
  </si>
  <si>
    <t>Dairy Products</t>
  </si>
  <si>
    <t>Beverages</t>
  </si>
  <si>
    <t>Q1 Result</t>
  </si>
  <si>
    <t>Year</t>
  </si>
  <si>
    <t>Month</t>
  </si>
  <si>
    <t>MonthName</t>
  </si>
  <si>
    <t>Num_Orders</t>
  </si>
  <si>
    <t>Jul</t>
  </si>
  <si>
    <t>Aug</t>
  </si>
  <si>
    <t>Sep</t>
  </si>
  <si>
    <t>Oct</t>
  </si>
  <si>
    <t>Nov</t>
  </si>
  <si>
    <t>Dec</t>
  </si>
  <si>
    <t>Jan</t>
  </si>
  <si>
    <t>Feb</t>
  </si>
  <si>
    <t>Mar</t>
  </si>
  <si>
    <t>Apr</t>
  </si>
  <si>
    <t>May</t>
  </si>
  <si>
    <t>Jun</t>
  </si>
  <si>
    <t>Q2 Result</t>
  </si>
  <si>
    <t>Employee</t>
  </si>
  <si>
    <t>Orders_Handled</t>
  </si>
  <si>
    <t>AVG_Revenue_per_Order</t>
  </si>
  <si>
    <t>Min_Order_Value</t>
  </si>
  <si>
    <t>Max_Order_Value</t>
  </si>
  <si>
    <t>Margaret Peacock</t>
  </si>
  <si>
    <t>Janet Leverling</t>
  </si>
  <si>
    <t>Nancy Davolio</t>
  </si>
  <si>
    <t>Andrew Fuller</t>
  </si>
  <si>
    <t>Robert King</t>
  </si>
  <si>
    <t>Laura Callahan</t>
  </si>
  <si>
    <t>Anne Dodsworth</t>
  </si>
  <si>
    <t>Michael Suyama</t>
  </si>
  <si>
    <t>Steven Buchanan</t>
  </si>
  <si>
    <t>Q3 Result</t>
  </si>
  <si>
    <t>ShipCountry</t>
  </si>
  <si>
    <t>Avg_Freight</t>
  </si>
  <si>
    <t>Total_Freight_Cost</t>
  </si>
  <si>
    <t>USA</t>
  </si>
  <si>
    <t>Germany</t>
  </si>
  <si>
    <t>Austria</t>
  </si>
  <si>
    <t>Brazil</t>
  </si>
  <si>
    <t>France</t>
  </si>
  <si>
    <t>Venezuela</t>
  </si>
  <si>
    <t>UK</t>
  </si>
  <si>
    <t>Sweden</t>
  </si>
  <si>
    <t>Ireland</t>
  </si>
  <si>
    <t>Canada</t>
  </si>
  <si>
    <t>Q4 Result</t>
  </si>
  <si>
    <t>Revenue_1997</t>
  </si>
  <si>
    <t>Revenue_1998</t>
  </si>
  <si>
    <t>YoY_Growth_Pct</t>
  </si>
  <si>
    <t>Q5 Result</t>
  </si>
  <si>
    <t>Grand Total</t>
  </si>
  <si>
    <t>Categories</t>
  </si>
  <si>
    <t>Total Revenue</t>
  </si>
  <si>
    <t>Orders Handled</t>
  </si>
  <si>
    <t>Country</t>
  </si>
  <si>
    <t>1997 Revenue</t>
  </si>
  <si>
    <t>1998 Revenue</t>
  </si>
  <si>
    <t>Category</t>
  </si>
  <si>
    <t>Total Orders</t>
  </si>
  <si>
    <t>Average Revenue per Order</t>
  </si>
  <si>
    <t>Total Units Sold</t>
  </si>
  <si>
    <t>Northwind Sales Dashboard</t>
  </si>
  <si>
    <t>Units Sold</t>
  </si>
  <si>
    <t>Grains/
Cereals</t>
  </si>
  <si>
    <t>Meat/
Poultry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</si>
</sst>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8" x14ac:knownFonts="1">
    <font>
      <sz val="11"/>
      <color theme="1"/>
      <name val="Aptos Narrow"/>
      <family val="2"/>
      <scheme val="minor"/>
    </font>
    <font>
      <b/>
      <sz val="11"/>
      <color theme="1"/>
      <name val="Aptos Narrow"/>
      <family val="2"/>
      <scheme val="minor"/>
    </font>
    <font>
      <b/>
      <sz val="11"/>
      <color theme="1"/>
      <name val="Aptos"/>
      <family val="2"/>
    </font>
    <font>
      <b/>
      <sz val="20"/>
      <color theme="3" tint="0.499984740745262"/>
      <name val="Aptos Narrow"/>
      <family val="2"/>
      <scheme val="minor"/>
    </font>
    <font>
      <b/>
      <sz val="18"/>
      <color theme="1" tint="0.249977111117893"/>
      <name val="Aptos Narrow"/>
      <family val="2"/>
      <scheme val="minor"/>
    </font>
    <font>
      <b/>
      <sz val="22"/>
      <color theme="9" tint="-0.249977111117893"/>
      <name val="Aptos Narrow"/>
      <family val="2"/>
      <scheme val="minor"/>
    </font>
    <font>
      <b/>
      <sz val="22"/>
      <color theme="3" tint="0.249977111117893"/>
      <name val="Aptos Narrow"/>
      <family val="2"/>
      <scheme val="minor"/>
    </font>
    <font>
      <b/>
      <sz val="24"/>
      <color theme="3" tint="0.249977111117893"/>
      <name val="Aptos Narrow"/>
      <family val="2"/>
      <scheme val="minor"/>
    </font>
  </fonts>
  <fills count="3">
    <fill>
      <patternFill patternType="none"/>
    </fill>
    <fill>
      <patternFill patternType="gray125"/>
    </fill>
    <fill>
      <patternFill patternType="solid">
        <fgColor theme="3" tint="0.89999084444715716"/>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top style="thick">
        <color theme="2" tint="-0.499984740745262"/>
      </top>
      <bottom/>
      <diagonal/>
    </border>
    <border>
      <left style="thick">
        <color theme="2" tint="-0.499984740745262"/>
      </left>
      <right/>
      <top style="thick">
        <color theme="2" tint="-0.499984740745262"/>
      </top>
      <bottom/>
      <diagonal/>
    </border>
    <border>
      <left/>
      <right style="thick">
        <color theme="2" tint="-0.499984740745262"/>
      </right>
      <top style="thick">
        <color theme="2" tint="-0.499984740745262"/>
      </top>
      <bottom/>
      <diagonal/>
    </border>
    <border>
      <left style="thick">
        <color theme="2" tint="-0.499984740745262"/>
      </left>
      <right/>
      <top/>
      <bottom/>
      <diagonal/>
    </border>
    <border>
      <left/>
      <right style="thick">
        <color theme="2" tint="-0.499984740745262"/>
      </right>
      <top/>
      <bottom/>
      <diagonal/>
    </border>
    <border>
      <left style="thick">
        <color theme="2" tint="-0.499984740745262"/>
      </left>
      <right/>
      <top/>
      <bottom style="thick">
        <color theme="2" tint="-0.499984740745262"/>
      </bottom>
      <diagonal/>
    </border>
    <border>
      <left/>
      <right/>
      <top/>
      <bottom style="thick">
        <color theme="2" tint="-0.499984740745262"/>
      </bottom>
      <diagonal/>
    </border>
    <border>
      <left/>
      <right style="thick">
        <color theme="2" tint="-0.499984740745262"/>
      </right>
      <top/>
      <bottom style="thick">
        <color theme="2" tint="-0.499984740745262"/>
      </bottom>
      <diagonal/>
    </border>
    <border>
      <left/>
      <right/>
      <top style="thick">
        <color theme="2" tint="-0.499984740745262"/>
      </top>
      <bottom style="thick">
        <color theme="2" tint="-0.499984740745262"/>
      </bottom>
      <diagonal/>
    </border>
    <border>
      <left style="thick">
        <color theme="2" tint="-0.499984740745262"/>
      </left>
      <right/>
      <top style="thick">
        <color theme="2" tint="-0.499984740745262"/>
      </top>
      <bottom style="thick">
        <color theme="2" tint="-0.499984740745262"/>
      </bottom>
      <diagonal/>
    </border>
    <border>
      <left/>
      <right style="thick">
        <color theme="2" tint="-0.499984740745262"/>
      </right>
      <top style="thick">
        <color theme="2" tint="-0.499984740745262"/>
      </top>
      <bottom style="thick">
        <color theme="2" tint="-0.499984740745262"/>
      </bottom>
      <diagonal/>
    </border>
  </borders>
  <cellStyleXfs count="1">
    <xf numFmtId="0" fontId="0" fillId="0" borderId="0"/>
  </cellStyleXfs>
  <cellXfs count="39">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0" fontId="2" fillId="0" borderId="0" xfId="0" applyFont="1"/>
    <xf numFmtId="1" fontId="0" fillId="0" borderId="0" xfId="0" applyNumberFormat="1"/>
    <xf numFmtId="0" fontId="0" fillId="0" borderId="0" xfId="0" applyAlignment="1">
      <alignment vertical="center"/>
    </xf>
    <xf numFmtId="0" fontId="1" fillId="0" borderId="0" xfId="0" applyFont="1" applyAlignment="1">
      <alignment horizontal="center" vertical="center"/>
    </xf>
    <xf numFmtId="0" fontId="0" fillId="0" borderId="1" xfId="0" applyBorder="1" applyAlignment="1">
      <alignment vertical="center"/>
    </xf>
    <xf numFmtId="1" fontId="0" fillId="0" borderId="1" xfId="0" applyNumberFormat="1" applyBorder="1" applyAlignment="1">
      <alignment vertical="center"/>
    </xf>
    <xf numFmtId="0" fontId="1" fillId="0" borderId="1" xfId="0" applyFont="1" applyBorder="1" applyAlignment="1">
      <alignment horizontal="center" vertical="center" wrapText="1"/>
    </xf>
    <xf numFmtId="0" fontId="3" fillId="0" borderId="0" xfId="0" applyFont="1" applyAlignment="1">
      <alignment vertical="center"/>
    </xf>
    <xf numFmtId="164" fontId="0" fillId="0" borderId="1" xfId="0" applyNumberFormat="1" applyBorder="1" applyAlignment="1">
      <alignment vertical="center"/>
    </xf>
    <xf numFmtId="0" fontId="0" fillId="2" borderId="0" xfId="0" applyFill="1" applyAlignment="1">
      <alignment vertical="center"/>
    </xf>
    <xf numFmtId="0" fontId="4" fillId="0" borderId="3" xfId="0" applyFont="1" applyBorder="1" applyAlignment="1">
      <alignment horizontal="center"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0" xfId="0" applyFont="1" applyAlignment="1">
      <alignment horizontal="center" vertical="center"/>
    </xf>
    <xf numFmtId="0" fontId="4" fillId="0" borderId="6" xfId="0" applyFont="1" applyBorder="1" applyAlignment="1">
      <alignment horizontal="center" vertical="center"/>
    </xf>
    <xf numFmtId="0" fontId="6" fillId="0" borderId="5" xfId="0" applyFont="1" applyBorder="1" applyAlignment="1">
      <alignment horizontal="center" vertical="center"/>
    </xf>
    <xf numFmtId="0" fontId="6" fillId="0" borderId="0" xfId="0" applyFont="1" applyAlignment="1">
      <alignment horizontal="center" vertical="center"/>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6" fillId="0" borderId="8" xfId="0" applyFont="1" applyBorder="1" applyAlignment="1">
      <alignment horizontal="center" vertical="center"/>
    </xf>
    <xf numFmtId="0" fontId="6" fillId="0" borderId="9" xfId="0" applyFont="1" applyBorder="1" applyAlignment="1">
      <alignment horizontal="center" vertical="center"/>
    </xf>
    <xf numFmtId="164" fontId="5" fillId="0" borderId="5" xfId="0" applyNumberFormat="1" applyFont="1" applyBorder="1" applyAlignment="1">
      <alignment horizontal="center" vertical="center"/>
    </xf>
    <xf numFmtId="164" fontId="5" fillId="0" borderId="0" xfId="0" applyNumberFormat="1" applyFont="1" applyAlignment="1">
      <alignment horizontal="center" vertical="center"/>
    </xf>
    <xf numFmtId="164" fontId="5" fillId="0" borderId="6" xfId="0" applyNumberFormat="1" applyFont="1" applyBorder="1" applyAlignment="1">
      <alignment horizontal="center" vertical="center"/>
    </xf>
    <xf numFmtId="164" fontId="5" fillId="0" borderId="7" xfId="0" applyNumberFormat="1" applyFont="1" applyBorder="1" applyAlignment="1">
      <alignment horizontal="center" vertical="center"/>
    </xf>
    <xf numFmtId="164" fontId="5" fillId="0" borderId="8" xfId="0" applyNumberFormat="1" applyFont="1" applyBorder="1" applyAlignment="1">
      <alignment horizontal="center" vertical="center"/>
    </xf>
    <xf numFmtId="164" fontId="5" fillId="0" borderId="9" xfId="0" applyNumberFormat="1" applyFont="1" applyBorder="1" applyAlignment="1">
      <alignment horizontal="center" vertical="center"/>
    </xf>
    <xf numFmtId="0" fontId="7" fillId="2" borderId="11" xfId="0" applyFont="1" applyFill="1" applyBorder="1" applyAlignment="1">
      <alignment horizontal="center" vertical="center"/>
    </xf>
    <xf numFmtId="0" fontId="7" fillId="2" borderId="10" xfId="0" applyFont="1" applyFill="1" applyBorder="1" applyAlignment="1">
      <alignment horizontal="center" vertical="center"/>
    </xf>
    <xf numFmtId="0" fontId="7" fillId="2" borderId="12" xfId="0" applyFont="1" applyFill="1" applyBorder="1" applyAlignment="1">
      <alignment horizontal="center" vertical="center"/>
    </xf>
    <xf numFmtId="0" fontId="1" fillId="0" borderId="0" xfId="0" applyFont="1" applyAlignment="1">
      <alignment horizontal="center"/>
    </xf>
    <xf numFmtId="0" fontId="0" fillId="0" borderId="0" xfId="0" applyAlignment="1">
      <alignment horizontal="center"/>
    </xf>
    <xf numFmtId="0" fontId="0" fillId="0" borderId="0" xfId="0" applyNumberFormat="1"/>
  </cellXfs>
  <cellStyles count="1">
    <cellStyle name="Normal" xfId="0" builtinId="0"/>
  </cellStyles>
  <dxfs count="15">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 formatCode="0"/>
    </dxf>
    <dxf>
      <numFmt numFmtId="164" formatCode="&quot;$&quot;#,##0.00"/>
    </dxf>
    <dxf>
      <numFmt numFmtId="164" formatCode="&quot;$&quot;#,##0.00"/>
    </dxf>
  </dxfs>
  <tableStyles count="0" defaultTableStyle="TableStyleMedium2" defaultPivotStyle="PivotStyleLight16"/>
  <colors>
    <mruColors>
      <color rgb="FF408A26"/>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[Santarin_StoryTellingEX1.xlsx]Revenue by Product Category!PivotTable1</c:name>
    <c:fmtId val="12"/>
  </c:pivotSource>
  <c:chart>
    <c:title>
      <c:tx>
        <c:rich>
          <a:bodyPr rot="0" spcFirstLastPara="1" vertOverflow="ellipsis" vert="horz" wrap="square" anchor="ctr" anchorCtr="1"/>
          <a:lstStyle/>
          <a:p>
            <a:pPr>
              <a:defRPr sz="1600" b="1" i="0" u="none" strike="noStrike" kern="1200" spc="100" baseline="0">
                <a:solidFill>
                  <a:schemeClr val="bg2">
                    <a:lumMod val="25000"/>
                  </a:schemeClr>
                </a:solidFill>
                <a:effectLst>
                  <a:outerShdw blurRad="50800" dist="38100" dir="5400000" algn="t" rotWithShape="0">
                    <a:prstClr val="black">
                      <a:alpha val="40000"/>
                    </a:prstClr>
                  </a:outerShdw>
                </a:effectLst>
                <a:latin typeface="+mn-lt"/>
                <a:ea typeface="+mn-ea"/>
                <a:cs typeface="+mn-cs"/>
              </a:defRPr>
            </a:pPr>
            <a:r>
              <a:rPr lang="en-US" sz="1800" b="1">
                <a:solidFill>
                  <a:schemeClr val="bg2">
                    <a:lumMod val="25000"/>
                  </a:schemeClr>
                </a:solidFill>
                <a:latin typeface="Aptos" panose="020B0004020202020204" pitchFamily="34" charset="0"/>
              </a:rPr>
              <a:t>Revenue by Product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2">
                  <a:lumMod val="2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408A26"/>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effectLst>
                    <a:glow rad="127000">
                      <a:schemeClr val="accent1">
                        <a:alpha val="60000"/>
                      </a:schemeClr>
                    </a:glo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408A26"/>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effectLst>
                    <a:glow rad="127000">
                      <a:schemeClr val="accent1">
                        <a:alpha val="60000"/>
                      </a:schemeClr>
                    </a:glo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08A26"/>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effectLst>
                    <a:glow rad="127000">
                      <a:schemeClr val="accent1">
                        <a:alpha val="60000"/>
                      </a:schemeClr>
                    </a:glo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by Product Category'!$B$1</c:f>
              <c:strCache>
                <c:ptCount val="1"/>
                <c:pt idx="0">
                  <c:v>Total</c:v>
                </c:pt>
              </c:strCache>
            </c:strRef>
          </c:tx>
          <c:spPr>
            <a:solidFill>
              <a:srgbClr val="408A26"/>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effectLst>
                      <a:glow rad="127000">
                        <a:schemeClr val="accent1">
                          <a:alpha val="60000"/>
                        </a:schemeClr>
                      </a:glow>
                    </a:effectLst>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'Revenue by Product Category'!$A$2:$A$10</c:f>
              <c:strCache>
                <c:ptCount val="8"/>
                <c:pt idx="0">
                  <c:v>Beverages</c:v>
                </c:pt>
                <c:pt idx="1">
                  <c:v>Dairy Products</c:v>
                </c:pt>
                <c:pt idx="2">
                  <c:v>Meat/Poultry</c:v>
                </c:pt>
                <c:pt idx="3">
                  <c:v>Confections</c:v>
                </c:pt>
                <c:pt idx="4">
                  <c:v>Seafood</c:v>
                </c:pt>
                <c:pt idx="5">
                  <c:v>Condiments</c:v>
                </c:pt>
                <c:pt idx="6">
                  <c:v>Produce</c:v>
                </c:pt>
                <c:pt idx="7">
                  <c:v>Grains/Cereals</c:v>
                </c:pt>
              </c:strCache>
            </c:strRef>
          </c:cat>
          <c:val>
            <c:numRef>
              <c:f>'Revenue by Product Category'!$B$2:$B$10</c:f>
              <c:numCache>
                <c:formatCode>"$"#,##0.00</c:formatCode>
                <c:ptCount val="8"/>
                <c:pt idx="0">
                  <c:v>1067931.6399999999</c:v>
                </c:pt>
                <c:pt idx="1">
                  <c:v>1103128.0900000001</c:v>
                </c:pt>
                <c:pt idx="2">
                  <c:v>1176269.79</c:v>
                </c:pt>
                <c:pt idx="3">
                  <c:v>1177359.49</c:v>
                </c:pt>
                <c:pt idx="4">
                  <c:v>1212835.5</c:v>
                </c:pt>
                <c:pt idx="5">
                  <c:v>1240763.8400000001</c:v>
                </c:pt>
                <c:pt idx="6">
                  <c:v>1249189.99</c:v>
                </c:pt>
                <c:pt idx="7">
                  <c:v>1253731.79</c:v>
                </c:pt>
              </c:numCache>
            </c:numRef>
          </c:val>
          <c:extLst>
            <c:ext xmlns:c16="http://schemas.microsoft.com/office/drawing/2014/chart" uri="{C3380CC4-5D6E-409C-BE32-E72D297353CC}">
              <c16:uniqueId val="{00000000-CA70-42F7-B9EC-97733CD00D94}"/>
            </c:ext>
          </c:extLst>
        </c:ser>
        <c:dLbls>
          <c:dLblPos val="outEnd"/>
          <c:showLegendKey val="0"/>
          <c:showVal val="1"/>
          <c:showCatName val="0"/>
          <c:showSerName val="0"/>
          <c:showPercent val="0"/>
          <c:showBubbleSize val="0"/>
        </c:dLbls>
        <c:gapWidth val="100"/>
        <c:axId val="1249835088"/>
        <c:axId val="1249851888"/>
      </c:barChart>
      <c:catAx>
        <c:axId val="124983508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bg2">
                    <a:lumMod val="25000"/>
                  </a:schemeClr>
                </a:solidFill>
                <a:latin typeface="+mn-lt"/>
                <a:ea typeface="+mn-ea"/>
                <a:cs typeface="+mn-cs"/>
              </a:defRPr>
            </a:pPr>
            <a:endParaRPr lang="en-US"/>
          </a:p>
        </c:txPr>
        <c:crossAx val="1249851888"/>
        <c:crosses val="autoZero"/>
        <c:auto val="1"/>
        <c:lblAlgn val="ctr"/>
        <c:lblOffset val="100"/>
        <c:noMultiLvlLbl val="0"/>
      </c:catAx>
      <c:valAx>
        <c:axId val="1249851888"/>
        <c:scaling>
          <c:orientation val="minMax"/>
        </c:scaling>
        <c:delete val="1"/>
        <c:axPos val="b"/>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crossAx val="1249835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[Santarin_StoryTellingEX1.xlsx]Monthly Revenue Trend!PivotTable2</c:name>
    <c:fmtId val="5"/>
  </c:pivotSource>
  <c:chart>
    <c:title>
      <c:tx>
        <c:rich>
          <a:bodyPr rot="0" spcFirstLastPara="1" vertOverflow="ellipsis" vert="horz" wrap="square" anchor="ctr" anchorCtr="1"/>
          <a:lstStyle/>
          <a:p>
            <a:pPr algn="ctr">
              <a:defRPr lang="en-US" sz="1800" b="0" i="0" u="none" strike="noStrike" kern="1200" spc="0" baseline="0">
                <a:solidFill>
                  <a:schemeClr val="bg2">
                    <a:lumMod val="25000"/>
                  </a:schemeClr>
                </a:solidFill>
                <a:latin typeface="Aptos" panose="020B0004020202020204" pitchFamily="34" charset="0"/>
                <a:ea typeface="+mn-ea"/>
                <a:cs typeface="+mn-cs"/>
              </a:defRPr>
            </a:pPr>
            <a:r>
              <a:rPr lang="en-US" sz="1800" b="1" i="0" u="none" strike="noStrike" kern="1200" baseline="0">
                <a:solidFill>
                  <a:schemeClr val="bg2">
                    <a:lumMod val="25000"/>
                  </a:schemeClr>
                </a:solidFill>
                <a:latin typeface="Aptos" panose="020B0004020202020204" pitchFamily="34" charset="0"/>
                <a:ea typeface="+mn-ea"/>
                <a:cs typeface="+mn-cs"/>
              </a:rPr>
              <a:t>Monthly Revenue Trend</a:t>
            </a:r>
          </a:p>
        </c:rich>
      </c:tx>
      <c:overlay val="0"/>
      <c:spPr>
        <a:noFill/>
        <a:ln>
          <a:noFill/>
        </a:ln>
        <a:effectLst/>
      </c:spPr>
      <c:txPr>
        <a:bodyPr rot="0" spcFirstLastPara="1" vertOverflow="ellipsis" vert="horz" wrap="square" anchor="ctr" anchorCtr="1"/>
        <a:lstStyle/>
        <a:p>
          <a:pPr algn="ctr">
            <a:defRPr lang="en-US" sz="1800" b="0" i="0" u="none" strike="noStrike" kern="1200" spc="0" baseline="0">
              <a:solidFill>
                <a:schemeClr val="bg2">
                  <a:lumMod val="25000"/>
                </a:schemeClr>
              </a:solidFill>
              <a:latin typeface="Aptos" panose="020B000402020202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tx2">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tx2">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tx2">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Revenue Trend'!$B$1:$B$2</c:f>
              <c:strCache>
                <c:ptCount val="1"/>
                <c:pt idx="0">
                  <c:v>1997</c:v>
                </c:pt>
              </c:strCache>
            </c:strRef>
          </c:tx>
          <c:spPr>
            <a:ln w="28575" cap="rnd">
              <a:solidFill>
                <a:schemeClr val="tx2">
                  <a:lumMod val="75000"/>
                  <a:lumOff val="25000"/>
                </a:schemeClr>
              </a:solidFill>
              <a:round/>
            </a:ln>
            <a:effectLst/>
          </c:spPr>
          <c:marker>
            <c:symbol val="none"/>
          </c:marker>
          <c:cat>
            <c:strRef>
              <c:f>'Monthly Revenue Trend'!$A$3:$A$14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Revenue Trend'!$B$3:$B$14</c:f>
              <c:numCache>
                <c:formatCode>"$"#,##0.00</c:formatCode>
                <c:ptCount val="12"/>
                <c:pt idx="0">
                  <c:v>66692.800000000003</c:v>
                </c:pt>
                <c:pt idx="1">
                  <c:v>41207.199999999997</c:v>
                </c:pt>
                <c:pt idx="2">
                  <c:v>39979.9</c:v>
                </c:pt>
                <c:pt idx="3">
                  <c:v>55699.39</c:v>
                </c:pt>
                <c:pt idx="4">
                  <c:v>56823.7</c:v>
                </c:pt>
                <c:pt idx="5">
                  <c:v>39088</c:v>
                </c:pt>
                <c:pt idx="6">
                  <c:v>55464.93</c:v>
                </c:pt>
                <c:pt idx="7">
                  <c:v>49981.69</c:v>
                </c:pt>
                <c:pt idx="8">
                  <c:v>59733.02</c:v>
                </c:pt>
                <c:pt idx="9">
                  <c:v>70328.5</c:v>
                </c:pt>
                <c:pt idx="10">
                  <c:v>45913.36</c:v>
                </c:pt>
                <c:pt idx="11">
                  <c:v>77476.259999999995</c:v>
                </c:pt>
              </c:numCache>
            </c:numRef>
          </c:val>
          <c:smooth val="0"/>
          <c:extLst>
            <c:ext xmlns:c16="http://schemas.microsoft.com/office/drawing/2014/chart" uri="{C3380CC4-5D6E-409C-BE32-E72D297353CC}">
              <c16:uniqueId val="{00000000-E25E-47A5-ADBB-22CBF44B3CB3}"/>
            </c:ext>
          </c:extLst>
        </c:ser>
        <c:ser>
          <c:idx val="1"/>
          <c:order val="1"/>
          <c:tx>
            <c:strRef>
              <c:f>'Monthly Revenue Trend'!$C$1:$C$2</c:f>
              <c:strCache>
                <c:ptCount val="1"/>
                <c:pt idx="0">
                  <c:v>1998</c:v>
                </c:pt>
              </c:strCache>
            </c:strRef>
          </c:tx>
          <c:spPr>
            <a:ln w="28575" cap="rnd">
              <a:solidFill>
                <a:schemeClr val="accent2"/>
              </a:solidFill>
              <a:round/>
            </a:ln>
            <a:effectLst/>
          </c:spPr>
          <c:marker>
            <c:symbol val="none"/>
          </c:marker>
          <c:cat>
            <c:strRef>
              <c:f>'Monthly Revenue Trend'!$A$3:$A$14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Revenue Trend'!$C$3:$C$14</c:f>
              <c:numCache>
                <c:formatCode>"$"#,##0.00</c:formatCode>
                <c:ptCount val="12"/>
                <c:pt idx="0">
                  <c:v>100854.72</c:v>
                </c:pt>
                <c:pt idx="1">
                  <c:v>104561.95</c:v>
                </c:pt>
                <c:pt idx="2">
                  <c:v>109825.45</c:v>
                </c:pt>
                <c:pt idx="3">
                  <c:v>134630.56</c:v>
                </c:pt>
                <c:pt idx="4">
                  <c:v>19898.66</c:v>
                </c:pt>
              </c:numCache>
            </c:numRef>
          </c:val>
          <c:smooth val="0"/>
          <c:extLst>
            <c:ext xmlns:c16="http://schemas.microsoft.com/office/drawing/2014/chart" uri="{C3380CC4-5D6E-409C-BE32-E72D297353CC}">
              <c16:uniqueId val="{00000001-E25E-47A5-ADBB-22CBF44B3CB3}"/>
            </c:ext>
          </c:extLst>
        </c:ser>
        <c:dLbls>
          <c:showLegendKey val="0"/>
          <c:showVal val="0"/>
          <c:showCatName val="0"/>
          <c:showSerName val="0"/>
          <c:showPercent val="0"/>
          <c:showBubbleSize val="0"/>
        </c:dLbls>
        <c:smooth val="0"/>
        <c:axId val="1802059888"/>
        <c:axId val="1802051728"/>
      </c:lineChart>
      <c:catAx>
        <c:axId val="1802059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2">
                    <a:lumMod val="25000"/>
                  </a:schemeClr>
                </a:solidFill>
                <a:latin typeface="+mn-lt"/>
                <a:ea typeface="+mn-ea"/>
                <a:cs typeface="+mn-cs"/>
              </a:defRPr>
            </a:pPr>
            <a:endParaRPr lang="en-US"/>
          </a:p>
        </c:txPr>
        <c:crossAx val="1802051728"/>
        <c:crosses val="autoZero"/>
        <c:auto val="1"/>
        <c:lblAlgn val="ctr"/>
        <c:lblOffset val="100"/>
        <c:noMultiLvlLbl val="0"/>
      </c:catAx>
      <c:valAx>
        <c:axId val="1802051728"/>
        <c:scaling>
          <c:orientation val="minMax"/>
        </c:scaling>
        <c:delete val="0"/>
        <c:axPos val="l"/>
        <c:majorGridlines>
          <c:spPr>
            <a:ln w="9525" cap="flat" cmpd="sng" algn="ctr">
              <a:solidFill>
                <a:schemeClr val="bg2">
                  <a:lumMod val="2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2">
                    <a:lumMod val="25000"/>
                  </a:schemeClr>
                </a:solidFill>
                <a:latin typeface="+mn-lt"/>
                <a:ea typeface="+mn-ea"/>
                <a:cs typeface="+mn-cs"/>
              </a:defRPr>
            </a:pPr>
            <a:endParaRPr lang="en-US"/>
          </a:p>
        </c:txPr>
        <c:crossAx val="1802059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bg2">
                  <a:lumMod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[Santarin_StoryTellingEX1.xlsx]Top Sales Employees!PivotTable3</c:name>
    <c:fmtId val="7"/>
  </c:pivotSource>
  <c:chart>
    <c:title>
      <c:tx>
        <c:rich>
          <a:bodyPr rot="0" spcFirstLastPara="1" vertOverflow="ellipsis" vert="horz" wrap="square" anchor="ctr" anchorCtr="1"/>
          <a:lstStyle/>
          <a:p>
            <a:pPr>
              <a:defRPr sz="1600" b="1" i="0" u="none" strike="noStrike" kern="1200" spc="100" baseline="0">
                <a:solidFill>
                  <a:schemeClr val="bg2">
                    <a:lumMod val="25000"/>
                  </a:schemeClr>
                </a:solidFill>
                <a:effectLst>
                  <a:outerShdw blurRad="50800" dist="38100" dir="5400000" algn="t" rotWithShape="0">
                    <a:prstClr val="black">
                      <a:alpha val="40000"/>
                    </a:prstClr>
                  </a:outerShdw>
                </a:effectLst>
                <a:latin typeface="+mn-lt"/>
                <a:ea typeface="+mn-ea"/>
                <a:cs typeface="+mn-cs"/>
              </a:defRPr>
            </a:pPr>
            <a:r>
              <a:rPr lang="en-US" sz="1800">
                <a:solidFill>
                  <a:schemeClr val="bg2">
                    <a:lumMod val="25000"/>
                  </a:schemeClr>
                </a:solidFill>
                <a:latin typeface="Aptos" panose="020B0004020202020204" pitchFamily="34" charset="0"/>
              </a:rPr>
              <a:t>Top Sales Employees</a:t>
            </a:r>
          </a:p>
        </c:rich>
      </c:tx>
      <c:layout>
        <c:manualLayout>
          <c:xMode val="edge"/>
          <c:yMode val="edge"/>
          <c:x val="0.29653955745287403"/>
          <c:y val="5.1893163296244909E-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2">
                  <a:lumMod val="2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tx2">
              <a:lumMod val="75000"/>
              <a:lumOff val="25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540000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75000"/>
              <a:lumOff val="2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616868532979797E-2"/>
          <c:y val="0.10163222554927115"/>
          <c:w val="0.78761632232285628"/>
          <c:h val="0.79597180634110876"/>
        </c:manualLayout>
      </c:layout>
      <c:barChart>
        <c:barDir val="col"/>
        <c:grouping val="clustered"/>
        <c:varyColors val="0"/>
        <c:ser>
          <c:idx val="0"/>
          <c:order val="0"/>
          <c:tx>
            <c:strRef>
              <c:f>'Top Sales Employees'!$B$1</c:f>
              <c:strCache>
                <c:ptCount val="1"/>
                <c:pt idx="0">
                  <c:v>Total Revenue</c:v>
                </c:pt>
              </c:strCache>
            </c:strRef>
          </c:tx>
          <c:spPr>
            <a:solidFill>
              <a:schemeClr val="tx2">
                <a:lumMod val="75000"/>
                <a:lumOff val="2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 Sales Employees'!$A$2:$A$10</c:f>
              <c:strCache>
                <c:ptCount val="9"/>
                <c:pt idx="0">
                  <c:v>Margaret Peacock</c:v>
                </c:pt>
                <c:pt idx="1">
                  <c:v>Janet Leverling</c:v>
                </c:pt>
                <c:pt idx="2">
                  <c:v>Nancy Davolio</c:v>
                </c:pt>
                <c:pt idx="3">
                  <c:v>Andrew Fuller</c:v>
                </c:pt>
                <c:pt idx="4">
                  <c:v>Robert King</c:v>
                </c:pt>
                <c:pt idx="5">
                  <c:v>Laura Callahan</c:v>
                </c:pt>
                <c:pt idx="6">
                  <c:v>Anne Dodsworth</c:v>
                </c:pt>
                <c:pt idx="7">
                  <c:v>Michael Suyama</c:v>
                </c:pt>
                <c:pt idx="8">
                  <c:v>Steven Buchanan</c:v>
                </c:pt>
              </c:strCache>
            </c:strRef>
          </c:cat>
          <c:val>
            <c:numRef>
              <c:f>'Top Sales Employees'!$B$2:$B$10</c:f>
              <c:numCache>
                <c:formatCode>"$"#,##0.00</c:formatCode>
                <c:ptCount val="9"/>
                <c:pt idx="0">
                  <c:v>250187.45</c:v>
                </c:pt>
                <c:pt idx="1">
                  <c:v>213051.3</c:v>
                </c:pt>
                <c:pt idx="2">
                  <c:v>202143.71</c:v>
                </c:pt>
                <c:pt idx="3">
                  <c:v>177749.26</c:v>
                </c:pt>
                <c:pt idx="4">
                  <c:v>141295.99</c:v>
                </c:pt>
                <c:pt idx="5">
                  <c:v>133301.03</c:v>
                </c:pt>
                <c:pt idx="6">
                  <c:v>82964</c:v>
                </c:pt>
                <c:pt idx="7">
                  <c:v>78198.100000000006</c:v>
                </c:pt>
                <c:pt idx="8">
                  <c:v>75567.75</c:v>
                </c:pt>
              </c:numCache>
            </c:numRef>
          </c:val>
          <c:extLst>
            <c:ext xmlns:c16="http://schemas.microsoft.com/office/drawing/2014/chart" uri="{C3380CC4-5D6E-409C-BE32-E72D297353CC}">
              <c16:uniqueId val="{00000000-CDCA-4794-A6DD-E48EA021D04B}"/>
            </c:ext>
          </c:extLst>
        </c:ser>
        <c:ser>
          <c:idx val="1"/>
          <c:order val="1"/>
          <c:tx>
            <c:strRef>
              <c:f>'Top Sales Employees'!$C$1</c:f>
              <c:strCache>
                <c:ptCount val="1"/>
                <c:pt idx="0">
                  <c:v>Orders Handled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chemeClr val="accent2"/>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 Sales Employees'!$A$2:$A$10</c:f>
              <c:strCache>
                <c:ptCount val="9"/>
                <c:pt idx="0">
                  <c:v>Margaret Peacock</c:v>
                </c:pt>
                <c:pt idx="1">
                  <c:v>Janet Leverling</c:v>
                </c:pt>
                <c:pt idx="2">
                  <c:v>Nancy Davolio</c:v>
                </c:pt>
                <c:pt idx="3">
                  <c:v>Andrew Fuller</c:v>
                </c:pt>
                <c:pt idx="4">
                  <c:v>Robert King</c:v>
                </c:pt>
                <c:pt idx="5">
                  <c:v>Laura Callahan</c:v>
                </c:pt>
                <c:pt idx="6">
                  <c:v>Anne Dodsworth</c:v>
                </c:pt>
                <c:pt idx="7">
                  <c:v>Michael Suyama</c:v>
                </c:pt>
                <c:pt idx="8">
                  <c:v>Steven Buchanan</c:v>
                </c:pt>
              </c:strCache>
            </c:strRef>
          </c:cat>
          <c:val>
            <c:numRef>
              <c:f>'Top Sales Employees'!$C$2:$C$10</c:f>
              <c:numCache>
                <c:formatCode>General</c:formatCode>
                <c:ptCount val="9"/>
                <c:pt idx="0">
                  <c:v>156</c:v>
                </c:pt>
                <c:pt idx="1">
                  <c:v>127</c:v>
                </c:pt>
                <c:pt idx="2">
                  <c:v>123</c:v>
                </c:pt>
                <c:pt idx="3">
                  <c:v>96</c:v>
                </c:pt>
                <c:pt idx="4">
                  <c:v>72</c:v>
                </c:pt>
                <c:pt idx="5">
                  <c:v>104</c:v>
                </c:pt>
                <c:pt idx="6">
                  <c:v>43</c:v>
                </c:pt>
                <c:pt idx="7">
                  <c:v>67</c:v>
                </c:pt>
                <c:pt idx="8">
                  <c:v>42</c:v>
                </c:pt>
              </c:numCache>
            </c:numRef>
          </c:val>
          <c:extLst>
            <c:ext xmlns:c16="http://schemas.microsoft.com/office/drawing/2014/chart" uri="{C3380CC4-5D6E-409C-BE32-E72D297353CC}">
              <c16:uniqueId val="{00000001-CDCA-4794-A6DD-E48EA021D04B}"/>
            </c:ext>
          </c:extLst>
        </c:ser>
        <c:dLbls>
          <c:dLblPos val="outEnd"/>
          <c:showLegendKey val="0"/>
          <c:showVal val="1"/>
          <c:showCatName val="0"/>
          <c:showSerName val="0"/>
          <c:showPercent val="0"/>
          <c:showBubbleSize val="0"/>
        </c:dLbls>
        <c:gapWidth val="100"/>
        <c:overlap val="-24"/>
        <c:axId val="1547984496"/>
        <c:axId val="1547994096"/>
      </c:barChart>
      <c:catAx>
        <c:axId val="15479844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2">
                    <a:lumMod val="25000"/>
                  </a:schemeClr>
                </a:solidFill>
                <a:latin typeface="+mn-lt"/>
                <a:ea typeface="+mn-ea"/>
                <a:cs typeface="+mn-cs"/>
              </a:defRPr>
            </a:pPr>
            <a:endParaRPr lang="en-US"/>
          </a:p>
        </c:txPr>
        <c:crossAx val="1547994096"/>
        <c:crosses val="autoZero"/>
        <c:auto val="1"/>
        <c:lblAlgn val="ctr"/>
        <c:lblOffset val="100"/>
        <c:noMultiLvlLbl val="0"/>
      </c:catAx>
      <c:valAx>
        <c:axId val="1547994096"/>
        <c:scaling>
          <c:orientation val="minMax"/>
        </c:scaling>
        <c:delete val="0"/>
        <c:axPos val="l"/>
        <c:majorGridlines>
          <c:spPr>
            <a:ln w="9525" cap="flat" cmpd="sng" algn="ctr">
              <a:solidFill>
                <a:schemeClr val="bg2">
                  <a:lumMod val="25000"/>
                  <a:alpha val="5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lumMod val="25000"/>
                  </a:schemeClr>
                </a:solidFill>
                <a:latin typeface="+mn-lt"/>
                <a:ea typeface="+mn-ea"/>
                <a:cs typeface="+mn-cs"/>
              </a:defRPr>
            </a:pPr>
            <a:endParaRPr lang="en-US"/>
          </a:p>
        </c:txPr>
        <c:crossAx val="1547984496"/>
        <c:crosses val="autoZero"/>
        <c:crossBetween val="between"/>
      </c:valAx>
      <c:spPr>
        <a:noFill/>
        <a:ln>
          <a:noFill/>
        </a:ln>
        <a:effectLst/>
      </c:spPr>
    </c:plotArea>
    <c:legend>
      <c:legendPos val="r"/>
      <c:layout>
        <c:manualLayout>
          <c:xMode val="edge"/>
          <c:yMode val="edge"/>
          <c:x val="0.80078582675495569"/>
          <c:y val="0.23025822005078236"/>
          <c:w val="0.18236309449667898"/>
          <c:h val="0.12491342978498937"/>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bg2">
                  <a:lumMod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[Santarin_StoryTellingEX1.xlsx]Revenue by Ship Country!PivotTable4</c:name>
    <c:fmtId val="6"/>
  </c:pivotSource>
  <c:chart>
    <c:title>
      <c:tx>
        <c:rich>
          <a:bodyPr rot="0" spcFirstLastPara="1" vertOverflow="ellipsis" vert="horz" wrap="square" anchor="ctr" anchorCtr="1"/>
          <a:lstStyle/>
          <a:p>
            <a:pPr>
              <a:defRPr sz="1800" b="1" i="0" u="none" strike="noStrike" kern="1200" baseline="0">
                <a:solidFill>
                  <a:schemeClr val="bg2">
                    <a:lumMod val="25000"/>
                  </a:schemeClr>
                </a:solidFill>
                <a:latin typeface="+mn-lt"/>
                <a:ea typeface="+mn-ea"/>
                <a:cs typeface="+mn-cs"/>
              </a:defRPr>
            </a:pPr>
            <a:r>
              <a:rPr lang="en-US">
                <a:solidFill>
                  <a:schemeClr val="bg2">
                    <a:lumMod val="25000"/>
                  </a:schemeClr>
                </a:solidFill>
              </a:rPr>
              <a:t>Revenue by Ship Country</a:t>
            </a:r>
          </a:p>
        </c:rich>
      </c:tx>
      <c:layout>
        <c:manualLayout>
          <c:xMode val="edge"/>
          <c:yMode val="edge"/>
          <c:x val="0.28595405190443512"/>
          <c:y val="2.9660444500655369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bg2">
                  <a:lumMod val="25000"/>
                </a:schemeClr>
              </a:solidFill>
              <a:latin typeface="+mn-lt"/>
              <a:ea typeface="+mn-ea"/>
              <a:cs typeface="+mn-cs"/>
            </a:defRPr>
          </a:pPr>
          <a:endParaRPr lang="en-US"/>
        </a:p>
      </c:txPr>
    </c:title>
    <c:autoTitleDeleted val="0"/>
    <c:pivotFmts>
      <c:pivotFmt>
        <c:idx val="0"/>
        <c:spPr>
          <a:solidFill>
            <a:schemeClr val="accent1"/>
          </a:solidFill>
          <a:ln>
            <a:solidFill>
              <a:schemeClr val="bg2"/>
            </a:solid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a:solidFill>
              <a:schemeClr val="bg2"/>
            </a:solidFill>
          </a:ln>
          <a:effectLst>
            <a:outerShdw blurRad="254000" sx="102000" sy="102000" algn="ctr" rotWithShape="0">
              <a:prstClr val="black">
                <a:alpha val="20000"/>
              </a:prstClr>
            </a:outerShdw>
          </a:effectLst>
        </c:spPr>
        <c:dLbl>
          <c:idx val="0"/>
          <c:spPr>
            <a:noFill/>
            <a:ln>
              <a:noFill/>
            </a:ln>
            <a:effectLst>
              <a:glow>
                <a:schemeClr val="accent1"/>
              </a:glow>
              <a:outerShdw blurRad="50800" dir="2700000" algn="tl" rotWithShape="0">
                <a:prstClr val="black">
                  <a:alpha val="0"/>
                </a:prstClr>
              </a:outerShdw>
            </a:effectLst>
          </c:spPr>
          <c:txPr>
            <a:bodyPr rot="0" spcFirstLastPara="1" vertOverflow="ellipsis" vert="horz" wrap="square" lIns="38100" tIns="19050" rIns="38100" bIns="19050" anchor="ctr" anchorCtr="0">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1807956868926672"/>
                  <c:h val="0.10698689956331878"/>
                </c:manualLayout>
              </c15:layout>
            </c:ext>
          </c:extLst>
        </c:dLbl>
      </c:pivotFmt>
      <c:pivotFmt>
        <c:idx val="2"/>
        <c:spPr>
          <a:solidFill>
            <a:schemeClr val="accent4">
              <a:lumMod val="60000"/>
            </a:schemeClr>
          </a:solidFill>
          <a:ln>
            <a:solidFill>
              <a:schemeClr val="bg2"/>
            </a:solidFill>
          </a:ln>
          <a:effectLst>
            <a:outerShdw blurRad="254000" sx="102000" sy="102000" algn="ctr" rotWithShape="0">
              <a:prstClr val="black">
                <a:alpha val="20000"/>
              </a:prstClr>
            </a:outerShdw>
          </a:effectLst>
        </c:spPr>
        <c:dLbl>
          <c:idx val="0"/>
          <c:spPr>
            <a:noFill/>
            <a:ln>
              <a:noFill/>
            </a:ln>
            <a:effectLst>
              <a:glow>
                <a:schemeClr val="accent1"/>
              </a:glow>
              <a:outerShdw blurRad="50800" dir="2700000" algn="tl" rotWithShape="0">
                <a:prstClr val="black">
                  <a:alpha val="0"/>
                </a:prstClr>
              </a:outerShdw>
            </a:effectLst>
          </c:spPr>
          <c:txPr>
            <a:bodyPr rot="0" spcFirstLastPara="1" vertOverflow="ellipsis" vert="horz" wrap="square" lIns="38100" tIns="19050" rIns="38100" bIns="19050" anchor="ctr" anchorCtr="0">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1317108862568777"/>
                  <c:h val="8.7292453267250186E-2"/>
                </c:manualLayout>
              </c15:layout>
            </c:ext>
          </c:extLst>
        </c:dLbl>
      </c:pivotFmt>
      <c:pivotFmt>
        <c:idx val="3"/>
        <c:spPr>
          <a:solidFill>
            <a:schemeClr val="accent2">
              <a:lumMod val="60000"/>
            </a:schemeClr>
          </a:solidFill>
          <a:ln>
            <a:solidFill>
              <a:schemeClr val="bg2"/>
            </a:solidFill>
          </a:ln>
          <a:effectLst>
            <a:outerShdw blurRad="254000" sx="102000" sy="102000" algn="ctr" rotWithShape="0">
              <a:prstClr val="black">
                <a:alpha val="20000"/>
              </a:prstClr>
            </a:outerShdw>
          </a:effectLst>
        </c:spPr>
        <c:dLbl>
          <c:idx val="0"/>
          <c:spPr>
            <a:noFill/>
            <a:ln>
              <a:noFill/>
            </a:ln>
            <a:effectLst>
              <a:glow>
                <a:schemeClr val="accent1"/>
              </a:glow>
              <a:outerShdw blurRad="50800" dir="2700000" algn="tl" rotWithShape="0">
                <a:prstClr val="black">
                  <a:alpha val="0"/>
                </a:prstClr>
              </a:outerShdw>
            </a:effectLst>
          </c:spPr>
          <c:txPr>
            <a:bodyPr rot="0" spcFirstLastPara="1" vertOverflow="ellipsis" vert="horz" wrap="square" lIns="38100" tIns="19050" rIns="38100" bIns="19050" anchor="ctr" anchorCtr="0">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0674592728348883"/>
                  <c:h val="0.10296998772568902"/>
                </c:manualLayout>
              </c15:layout>
            </c:ext>
          </c:extLst>
        </c:dLbl>
      </c:pivotFmt>
      <c:pivotFmt>
        <c:idx val="4"/>
        <c:spPr>
          <a:solidFill>
            <a:schemeClr val="accent6"/>
          </a:solidFill>
          <a:ln>
            <a:solidFill>
              <a:schemeClr val="bg2"/>
            </a:solidFill>
          </a:ln>
          <a:effectLst>
            <a:outerShdw blurRad="254000" sx="102000" sy="102000" algn="ctr" rotWithShape="0">
              <a:prstClr val="black">
                <a:alpha val="20000"/>
              </a:prstClr>
            </a:outerShdw>
          </a:effectLst>
        </c:spPr>
        <c:dLbl>
          <c:idx val="0"/>
          <c:spPr>
            <a:noFill/>
            <a:ln>
              <a:noFill/>
            </a:ln>
            <a:effectLst>
              <a:glow>
                <a:schemeClr val="accent1"/>
              </a:glow>
              <a:outerShdw blurRad="50800" dir="2700000" algn="tl" rotWithShape="0">
                <a:prstClr val="black">
                  <a:alpha val="0"/>
                </a:prstClr>
              </a:outerShdw>
            </a:effectLst>
          </c:spPr>
          <c:txPr>
            <a:bodyPr rot="0" spcFirstLastPara="1" vertOverflow="ellipsis" vert="horz" wrap="square" lIns="38100" tIns="19050" rIns="38100" bIns="19050" anchor="ctr" anchorCtr="0">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1120475403551514"/>
                  <c:h val="0.10168652292373612"/>
                </c:manualLayout>
              </c15:layout>
            </c:ext>
          </c:extLst>
        </c:dLbl>
      </c:pivotFmt>
      <c:pivotFmt>
        <c:idx val="5"/>
        <c:spPr>
          <a:solidFill>
            <a:schemeClr val="accent5"/>
          </a:solidFill>
          <a:ln>
            <a:solidFill>
              <a:schemeClr val="bg2"/>
            </a:solidFill>
          </a:ln>
          <a:effectLst>
            <a:outerShdw blurRad="254000" sx="102000" sy="102000" algn="ctr" rotWithShape="0">
              <a:prstClr val="black">
                <a:alpha val="20000"/>
              </a:prstClr>
            </a:outerShdw>
          </a:effectLst>
        </c:spPr>
        <c:dLbl>
          <c:idx val="0"/>
          <c:spPr>
            <a:noFill/>
            <a:ln>
              <a:noFill/>
            </a:ln>
            <a:effectLst>
              <a:glow>
                <a:schemeClr val="accent1"/>
              </a:glow>
              <a:outerShdw blurRad="50800" dir="2700000" algn="tl" rotWithShape="0">
                <a:prstClr val="black">
                  <a:alpha val="0"/>
                </a:prstClr>
              </a:outerShdw>
            </a:effectLst>
          </c:spPr>
          <c:txPr>
            <a:bodyPr rot="0" spcFirstLastPara="1" vertOverflow="ellipsis" vert="horz" wrap="square" lIns="38100" tIns="19050" rIns="38100" bIns="19050" anchor="ctr" anchorCtr="0">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1240804337113193"/>
                  <c:h val="0.10255504533144941"/>
                </c:manualLayout>
              </c15:layout>
            </c:ext>
          </c:extLst>
        </c:dLbl>
      </c:pivotFmt>
      <c:pivotFmt>
        <c:idx val="6"/>
        <c:spPr>
          <a:solidFill>
            <a:schemeClr val="accent4"/>
          </a:solidFill>
          <a:ln>
            <a:solidFill>
              <a:schemeClr val="bg2"/>
            </a:solidFill>
          </a:ln>
          <a:effectLst>
            <a:outerShdw blurRad="254000" sx="102000" sy="102000" algn="ctr" rotWithShape="0">
              <a:prstClr val="black">
                <a:alpha val="20000"/>
              </a:prstClr>
            </a:outerShdw>
          </a:effectLst>
        </c:spPr>
        <c:dLbl>
          <c:idx val="0"/>
          <c:spPr>
            <a:noFill/>
            <a:ln>
              <a:noFill/>
            </a:ln>
            <a:effectLst>
              <a:glow>
                <a:schemeClr val="accent1"/>
              </a:glow>
              <a:outerShdw blurRad="50800" dir="2700000" algn="tl" rotWithShape="0">
                <a:prstClr val="black">
                  <a:alpha val="0"/>
                </a:prstClr>
              </a:outerShdw>
            </a:effectLst>
          </c:spPr>
          <c:txPr>
            <a:bodyPr rot="0" spcFirstLastPara="1" vertOverflow="ellipsis" vert="horz" wrap="square" lIns="38100" tIns="19050" rIns="38100" bIns="19050" anchor="ctr" anchorCtr="0">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275951383272296"/>
                  <c:h val="9.4224801696835864E-2"/>
                </c:manualLayout>
              </c15:layout>
            </c:ext>
          </c:extLst>
        </c:dLbl>
      </c:pivotFmt>
      <c:pivotFmt>
        <c:idx val="7"/>
        <c:spPr>
          <a:solidFill>
            <a:schemeClr val="accent2"/>
          </a:solidFill>
          <a:ln>
            <a:solidFill>
              <a:schemeClr val="bg2"/>
            </a:solidFill>
          </a:ln>
          <a:effectLst>
            <a:outerShdw blurRad="254000" sx="102000" sy="102000" algn="ctr" rotWithShape="0">
              <a:prstClr val="black">
                <a:alpha val="20000"/>
              </a:prstClr>
            </a:outerShdw>
          </a:effectLst>
        </c:spPr>
        <c:dLbl>
          <c:idx val="0"/>
          <c:spPr>
            <a:noFill/>
            <a:ln>
              <a:noFill/>
            </a:ln>
            <a:effectLst>
              <a:glow>
                <a:schemeClr val="accent1"/>
              </a:glow>
              <a:outerShdw blurRad="50800" dir="2700000" algn="tl" rotWithShape="0">
                <a:prstClr val="black">
                  <a:alpha val="0"/>
                </a:prstClr>
              </a:outerShdw>
            </a:effectLst>
          </c:spPr>
          <c:txPr>
            <a:bodyPr rot="0" spcFirstLastPara="1" vertOverflow="ellipsis" vert="horz" wrap="square" lIns="38100" tIns="19050" rIns="38100" bIns="19050" anchor="ctr" anchorCtr="0">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1882351322459835"/>
                  <c:h val="0.10788209606986898"/>
                </c:manualLayout>
              </c15:layout>
            </c:ext>
          </c:extLst>
        </c:dLbl>
      </c:pivotFmt>
      <c:pivotFmt>
        <c:idx val="8"/>
        <c:spPr>
          <a:solidFill>
            <a:schemeClr val="accent3"/>
          </a:solidFill>
          <a:ln>
            <a:solidFill>
              <a:schemeClr val="bg2"/>
            </a:solidFill>
          </a:ln>
          <a:effectLst>
            <a:outerShdw blurRad="254000" sx="102000" sy="102000" algn="ctr" rotWithShape="0">
              <a:prstClr val="black">
                <a:alpha val="20000"/>
              </a:prstClr>
            </a:outerShdw>
          </a:effectLst>
        </c:spPr>
        <c:dLbl>
          <c:idx val="0"/>
          <c:spPr>
            <a:noFill/>
            <a:ln>
              <a:noFill/>
            </a:ln>
            <a:effectLst>
              <a:glow>
                <a:schemeClr val="accent1"/>
              </a:glow>
              <a:outerShdw blurRad="50800" dir="2700000" algn="tl" rotWithShape="0">
                <a:prstClr val="black">
                  <a:alpha val="0"/>
                </a:prstClr>
              </a:outerShdw>
            </a:effectLst>
          </c:spPr>
          <c:txPr>
            <a:bodyPr rot="0" spcFirstLastPara="1" vertOverflow="ellipsis" vert="horz" wrap="square" lIns="38100" tIns="19050" rIns="38100" bIns="19050" anchor="ctr" anchorCtr="0">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0379763182878349"/>
                  <c:h val="0.11180139600453873"/>
                </c:manualLayout>
              </c15:layout>
            </c:ext>
          </c:extLst>
        </c:dLbl>
      </c:pivotFmt>
      <c:pivotFmt>
        <c:idx val="9"/>
        <c:spPr>
          <a:solidFill>
            <a:schemeClr val="accent3">
              <a:lumMod val="60000"/>
            </a:schemeClr>
          </a:solidFill>
          <a:ln>
            <a:solidFill>
              <a:schemeClr val="bg2"/>
            </a:solidFill>
          </a:ln>
          <a:effectLst>
            <a:outerShdw blurRad="254000" sx="102000" sy="102000" algn="ctr" rotWithShape="0">
              <a:prstClr val="black">
                <a:alpha val="20000"/>
              </a:prstClr>
            </a:outerShdw>
          </a:effectLst>
        </c:spPr>
        <c:dLbl>
          <c:idx val="0"/>
          <c:spPr>
            <a:noFill/>
            <a:ln>
              <a:noFill/>
            </a:ln>
            <a:effectLst>
              <a:glow>
                <a:schemeClr val="accent1"/>
              </a:glow>
              <a:outerShdw blurRad="50800" dir="2700000" algn="tl" rotWithShape="0">
                <a:prstClr val="black">
                  <a:alpha val="0"/>
                </a:prstClr>
              </a:outerShdw>
            </a:effectLst>
          </c:spPr>
          <c:txPr>
            <a:bodyPr rot="0" spcFirstLastPara="1" vertOverflow="ellipsis" vert="horz" wrap="square" lIns="38100" tIns="19050" rIns="38100" bIns="19050" anchor="ctr" anchorCtr="0">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0618373609244089"/>
                  <c:h val="0.10099232759427348"/>
                </c:manualLayout>
              </c15:layout>
            </c:ext>
          </c:extLst>
        </c:dLbl>
      </c:pivotFmt>
      <c:pivotFmt>
        <c:idx val="10"/>
        <c:spPr>
          <a:solidFill>
            <a:schemeClr val="accent1">
              <a:lumMod val="60000"/>
            </a:schemeClr>
          </a:solidFill>
          <a:ln>
            <a:solidFill>
              <a:schemeClr val="bg2"/>
            </a:solidFill>
          </a:ln>
          <a:effectLst>
            <a:outerShdw blurRad="254000" sx="102000" sy="102000" algn="ctr" rotWithShape="0">
              <a:prstClr val="black">
                <a:alpha val="20000"/>
              </a:prstClr>
            </a:outerShdw>
          </a:effectLst>
        </c:spPr>
        <c:dLbl>
          <c:idx val="0"/>
          <c:spPr>
            <a:noFill/>
            <a:ln>
              <a:noFill/>
            </a:ln>
            <a:effectLst>
              <a:glow>
                <a:schemeClr val="accent1"/>
              </a:glow>
              <a:outerShdw blurRad="50800" dir="2700000" algn="tl" rotWithShape="0">
                <a:prstClr val="black">
                  <a:alpha val="0"/>
                </a:prstClr>
              </a:outerShdw>
            </a:effectLst>
          </c:spPr>
          <c:txPr>
            <a:bodyPr rot="0" spcFirstLastPara="1" vertOverflow="ellipsis" vert="horz" wrap="square" lIns="38100" tIns="19050" rIns="38100" bIns="19050" anchor="ctr" anchorCtr="0">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1504700552281946"/>
                  <c:h val="9.325271804664309E-2"/>
                </c:manualLayout>
              </c15:layout>
            </c:ext>
          </c:extLst>
        </c:dLbl>
      </c:pivotFmt>
      <c:pivotFmt>
        <c:idx val="11"/>
        <c:spPr>
          <a:solidFill>
            <a:schemeClr val="accent1"/>
          </a:solidFill>
          <a:ln>
            <a:solidFill>
              <a:schemeClr val="bg2"/>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2"/>
        <c:spPr>
          <a:solidFill>
            <a:schemeClr val="accent1"/>
          </a:solidFill>
          <a:ln>
            <a:solidFill>
              <a:schemeClr val="bg2"/>
            </a:solidFill>
          </a:ln>
          <a:effectLst>
            <a:outerShdw blurRad="254000" sx="102000" sy="102000" algn="ctr" rotWithShape="0">
              <a:prstClr val="black">
                <a:alpha val="20000"/>
              </a:prstClr>
            </a:outerShdw>
          </a:effectLst>
        </c:spPr>
        <c:dLbl>
          <c:idx val="0"/>
          <c:spPr>
            <a:noFill/>
            <a:ln>
              <a:noFill/>
            </a:ln>
            <a:effectLst>
              <a:glow>
                <a:schemeClr val="accent1"/>
              </a:glow>
              <a:outerShdw blurRad="50800" dir="2700000" algn="tl" rotWithShape="0">
                <a:prstClr val="black">
                  <a:alpha val="0"/>
                </a:prstClr>
              </a:outerShdw>
            </a:effectLst>
          </c:spPr>
          <c:txPr>
            <a:bodyPr rot="0" spcFirstLastPara="1" vertOverflow="ellipsis" vert="horz" wrap="square" lIns="38100" tIns="19050" rIns="38100" bIns="19050" anchor="ctr" anchorCtr="0">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1807956868926672"/>
                  <c:h val="0.10698689956331878"/>
                </c:manualLayout>
              </c15:layout>
            </c:ext>
          </c:extLst>
        </c:dLbl>
      </c:pivotFmt>
      <c:pivotFmt>
        <c:idx val="13"/>
        <c:spPr>
          <a:solidFill>
            <a:schemeClr val="accent1"/>
          </a:solidFill>
          <a:ln>
            <a:solidFill>
              <a:schemeClr val="bg2"/>
            </a:solidFill>
          </a:ln>
          <a:effectLst>
            <a:outerShdw blurRad="254000" sx="102000" sy="102000" algn="ctr" rotWithShape="0">
              <a:prstClr val="black">
                <a:alpha val="20000"/>
              </a:prstClr>
            </a:outerShdw>
          </a:effectLst>
        </c:spPr>
        <c:dLbl>
          <c:idx val="0"/>
          <c:spPr>
            <a:noFill/>
            <a:ln>
              <a:noFill/>
            </a:ln>
            <a:effectLst>
              <a:glow>
                <a:schemeClr val="accent1"/>
              </a:glow>
              <a:outerShdw blurRad="50800" dir="2700000" algn="tl" rotWithShape="0">
                <a:prstClr val="black">
                  <a:alpha val="0"/>
                </a:prstClr>
              </a:outerShdw>
            </a:effectLst>
          </c:spPr>
          <c:txPr>
            <a:bodyPr rot="0" spcFirstLastPara="1" vertOverflow="ellipsis" vert="horz" wrap="square" lIns="38100" tIns="19050" rIns="38100" bIns="19050" anchor="ctr" anchorCtr="0">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1882351322459835"/>
                  <c:h val="0.10788209606986898"/>
                </c:manualLayout>
              </c15:layout>
            </c:ext>
          </c:extLst>
        </c:dLbl>
      </c:pivotFmt>
      <c:pivotFmt>
        <c:idx val="14"/>
        <c:spPr>
          <a:solidFill>
            <a:schemeClr val="accent1"/>
          </a:solidFill>
          <a:ln>
            <a:solidFill>
              <a:schemeClr val="bg2"/>
            </a:solidFill>
          </a:ln>
          <a:effectLst>
            <a:outerShdw blurRad="254000" sx="102000" sy="102000" algn="ctr" rotWithShape="0">
              <a:prstClr val="black">
                <a:alpha val="20000"/>
              </a:prstClr>
            </a:outerShdw>
          </a:effectLst>
        </c:spPr>
        <c:dLbl>
          <c:idx val="0"/>
          <c:spPr>
            <a:noFill/>
            <a:ln>
              <a:noFill/>
            </a:ln>
            <a:effectLst>
              <a:glow>
                <a:schemeClr val="accent1"/>
              </a:glow>
              <a:outerShdw blurRad="50800" dir="2700000" algn="tl" rotWithShape="0">
                <a:prstClr val="black">
                  <a:alpha val="0"/>
                </a:prstClr>
              </a:outerShdw>
            </a:effectLst>
          </c:spPr>
          <c:txPr>
            <a:bodyPr rot="0" spcFirstLastPara="1" vertOverflow="ellipsis" vert="horz" wrap="square" lIns="38100" tIns="19050" rIns="38100" bIns="19050" anchor="ctr" anchorCtr="0">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0379763182878349"/>
                  <c:h val="0.11180139600453873"/>
                </c:manualLayout>
              </c15:layout>
            </c:ext>
          </c:extLst>
        </c:dLbl>
      </c:pivotFmt>
      <c:pivotFmt>
        <c:idx val="15"/>
        <c:spPr>
          <a:solidFill>
            <a:schemeClr val="accent1"/>
          </a:solidFill>
          <a:ln>
            <a:solidFill>
              <a:schemeClr val="bg2"/>
            </a:solidFill>
          </a:ln>
          <a:effectLst>
            <a:outerShdw blurRad="254000" sx="102000" sy="102000" algn="ctr" rotWithShape="0">
              <a:prstClr val="black">
                <a:alpha val="20000"/>
              </a:prstClr>
            </a:outerShdw>
          </a:effectLst>
        </c:spPr>
        <c:dLbl>
          <c:idx val="0"/>
          <c:spPr>
            <a:noFill/>
            <a:ln>
              <a:noFill/>
            </a:ln>
            <a:effectLst>
              <a:glow>
                <a:schemeClr val="accent1"/>
              </a:glow>
              <a:outerShdw blurRad="50800" dir="2700000" algn="tl" rotWithShape="0">
                <a:prstClr val="black">
                  <a:alpha val="0"/>
                </a:prstClr>
              </a:outerShdw>
            </a:effectLst>
          </c:spPr>
          <c:txPr>
            <a:bodyPr rot="0" spcFirstLastPara="1" vertOverflow="ellipsis" vert="horz" wrap="square" lIns="38100" tIns="19050" rIns="38100" bIns="19050" anchor="ctr" anchorCtr="0">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275951383272296"/>
                  <c:h val="9.4224801696835864E-2"/>
                </c:manualLayout>
              </c15:layout>
            </c:ext>
          </c:extLst>
        </c:dLbl>
      </c:pivotFmt>
      <c:pivotFmt>
        <c:idx val="16"/>
        <c:spPr>
          <a:solidFill>
            <a:schemeClr val="accent1"/>
          </a:solidFill>
          <a:ln>
            <a:solidFill>
              <a:schemeClr val="bg2"/>
            </a:solidFill>
          </a:ln>
          <a:effectLst>
            <a:outerShdw blurRad="254000" sx="102000" sy="102000" algn="ctr" rotWithShape="0">
              <a:prstClr val="black">
                <a:alpha val="20000"/>
              </a:prstClr>
            </a:outerShdw>
          </a:effectLst>
        </c:spPr>
        <c:dLbl>
          <c:idx val="0"/>
          <c:spPr>
            <a:noFill/>
            <a:ln>
              <a:noFill/>
            </a:ln>
            <a:effectLst>
              <a:glow>
                <a:schemeClr val="accent1"/>
              </a:glow>
              <a:outerShdw blurRad="50800" dir="2700000" algn="tl" rotWithShape="0">
                <a:prstClr val="black">
                  <a:alpha val="0"/>
                </a:prstClr>
              </a:outerShdw>
            </a:effectLst>
          </c:spPr>
          <c:txPr>
            <a:bodyPr rot="0" spcFirstLastPara="1" vertOverflow="ellipsis" vert="horz" wrap="square" lIns="38100" tIns="19050" rIns="38100" bIns="19050" anchor="ctr" anchorCtr="0">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1240804337113193"/>
                  <c:h val="0.10255504533144941"/>
                </c:manualLayout>
              </c15:layout>
            </c:ext>
          </c:extLst>
        </c:dLbl>
      </c:pivotFmt>
      <c:pivotFmt>
        <c:idx val="17"/>
        <c:spPr>
          <a:solidFill>
            <a:schemeClr val="accent1"/>
          </a:solidFill>
          <a:ln>
            <a:solidFill>
              <a:schemeClr val="bg2"/>
            </a:solidFill>
          </a:ln>
          <a:effectLst>
            <a:outerShdw blurRad="254000" sx="102000" sy="102000" algn="ctr" rotWithShape="0">
              <a:prstClr val="black">
                <a:alpha val="20000"/>
              </a:prstClr>
            </a:outerShdw>
          </a:effectLst>
        </c:spPr>
        <c:dLbl>
          <c:idx val="0"/>
          <c:spPr>
            <a:noFill/>
            <a:ln>
              <a:noFill/>
            </a:ln>
            <a:effectLst>
              <a:glow>
                <a:schemeClr val="accent1"/>
              </a:glow>
              <a:outerShdw blurRad="50800" dir="2700000" algn="tl" rotWithShape="0">
                <a:prstClr val="black">
                  <a:alpha val="0"/>
                </a:prstClr>
              </a:outerShdw>
            </a:effectLst>
          </c:spPr>
          <c:txPr>
            <a:bodyPr rot="0" spcFirstLastPara="1" vertOverflow="ellipsis" vert="horz" wrap="square" lIns="38100" tIns="19050" rIns="38100" bIns="19050" anchor="ctr" anchorCtr="0">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1120475403551514"/>
                  <c:h val="0.10168652292373612"/>
                </c:manualLayout>
              </c15:layout>
            </c:ext>
          </c:extLst>
        </c:dLbl>
      </c:pivotFmt>
      <c:pivotFmt>
        <c:idx val="18"/>
        <c:spPr>
          <a:solidFill>
            <a:schemeClr val="accent1"/>
          </a:solidFill>
          <a:ln>
            <a:solidFill>
              <a:schemeClr val="bg2"/>
            </a:solidFill>
          </a:ln>
          <a:effectLst>
            <a:outerShdw blurRad="254000" sx="102000" sy="102000" algn="ctr" rotWithShape="0">
              <a:prstClr val="black">
                <a:alpha val="20000"/>
              </a:prstClr>
            </a:outerShdw>
          </a:effectLst>
        </c:spPr>
        <c:dLbl>
          <c:idx val="0"/>
          <c:spPr>
            <a:noFill/>
            <a:ln>
              <a:noFill/>
            </a:ln>
            <a:effectLst>
              <a:glow>
                <a:schemeClr val="accent1"/>
              </a:glow>
              <a:outerShdw blurRad="50800" dir="2700000" algn="tl" rotWithShape="0">
                <a:prstClr val="black">
                  <a:alpha val="0"/>
                </a:prstClr>
              </a:outerShdw>
            </a:effectLst>
          </c:spPr>
          <c:txPr>
            <a:bodyPr rot="0" spcFirstLastPara="1" vertOverflow="ellipsis" vert="horz" wrap="square" lIns="38100" tIns="19050" rIns="38100" bIns="19050" anchor="ctr" anchorCtr="0">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1504700552281946"/>
                  <c:h val="9.325271804664309E-2"/>
                </c:manualLayout>
              </c15:layout>
            </c:ext>
          </c:extLst>
        </c:dLbl>
      </c:pivotFmt>
      <c:pivotFmt>
        <c:idx val="19"/>
        <c:spPr>
          <a:solidFill>
            <a:schemeClr val="accent1"/>
          </a:solidFill>
          <a:ln>
            <a:solidFill>
              <a:schemeClr val="bg2"/>
            </a:solidFill>
          </a:ln>
          <a:effectLst>
            <a:outerShdw blurRad="254000" sx="102000" sy="102000" algn="ctr" rotWithShape="0">
              <a:prstClr val="black">
                <a:alpha val="20000"/>
              </a:prstClr>
            </a:outerShdw>
          </a:effectLst>
        </c:spPr>
        <c:dLbl>
          <c:idx val="0"/>
          <c:spPr>
            <a:noFill/>
            <a:ln>
              <a:noFill/>
            </a:ln>
            <a:effectLst>
              <a:glow>
                <a:schemeClr val="accent1"/>
              </a:glow>
              <a:outerShdw blurRad="50800" dir="2700000" algn="tl" rotWithShape="0">
                <a:prstClr val="black">
                  <a:alpha val="0"/>
                </a:prstClr>
              </a:outerShdw>
            </a:effectLst>
          </c:spPr>
          <c:txPr>
            <a:bodyPr rot="0" spcFirstLastPara="1" vertOverflow="ellipsis" vert="horz" wrap="square" lIns="38100" tIns="19050" rIns="38100" bIns="19050" anchor="ctr" anchorCtr="0">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0674592728348883"/>
                  <c:h val="0.10296998772568902"/>
                </c:manualLayout>
              </c15:layout>
            </c:ext>
          </c:extLst>
        </c:dLbl>
      </c:pivotFmt>
      <c:pivotFmt>
        <c:idx val="20"/>
        <c:spPr>
          <a:solidFill>
            <a:schemeClr val="accent1"/>
          </a:solidFill>
          <a:ln>
            <a:solidFill>
              <a:schemeClr val="bg2"/>
            </a:solidFill>
          </a:ln>
          <a:effectLst>
            <a:outerShdw blurRad="254000" sx="102000" sy="102000" algn="ctr" rotWithShape="0">
              <a:prstClr val="black">
                <a:alpha val="20000"/>
              </a:prstClr>
            </a:outerShdw>
          </a:effectLst>
        </c:spPr>
        <c:dLbl>
          <c:idx val="0"/>
          <c:spPr>
            <a:noFill/>
            <a:ln>
              <a:noFill/>
            </a:ln>
            <a:effectLst>
              <a:glow>
                <a:schemeClr val="accent1"/>
              </a:glow>
              <a:outerShdw blurRad="50800" dir="2700000" algn="tl" rotWithShape="0">
                <a:prstClr val="black">
                  <a:alpha val="0"/>
                </a:prstClr>
              </a:outerShdw>
            </a:effectLst>
          </c:spPr>
          <c:txPr>
            <a:bodyPr rot="0" spcFirstLastPara="1" vertOverflow="ellipsis" vert="horz" wrap="square" lIns="38100" tIns="19050" rIns="38100" bIns="19050" anchor="ctr" anchorCtr="0">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0618373609244089"/>
                  <c:h val="0.10099232759427348"/>
                </c:manualLayout>
              </c15:layout>
            </c:ext>
          </c:extLst>
        </c:dLbl>
      </c:pivotFmt>
      <c:pivotFmt>
        <c:idx val="21"/>
        <c:spPr>
          <a:solidFill>
            <a:schemeClr val="accent1"/>
          </a:solidFill>
          <a:ln>
            <a:solidFill>
              <a:schemeClr val="bg2"/>
            </a:solidFill>
          </a:ln>
          <a:effectLst>
            <a:outerShdw blurRad="254000" sx="102000" sy="102000" algn="ctr" rotWithShape="0">
              <a:prstClr val="black">
                <a:alpha val="20000"/>
              </a:prstClr>
            </a:outerShdw>
          </a:effectLst>
        </c:spPr>
        <c:dLbl>
          <c:idx val="0"/>
          <c:spPr>
            <a:noFill/>
            <a:ln>
              <a:noFill/>
            </a:ln>
            <a:effectLst>
              <a:glow>
                <a:schemeClr val="accent1"/>
              </a:glow>
              <a:outerShdw blurRad="50800" dir="2700000" algn="tl" rotWithShape="0">
                <a:prstClr val="black">
                  <a:alpha val="0"/>
                </a:prstClr>
              </a:outerShdw>
            </a:effectLst>
          </c:spPr>
          <c:txPr>
            <a:bodyPr rot="0" spcFirstLastPara="1" vertOverflow="ellipsis" vert="horz" wrap="square" lIns="38100" tIns="19050" rIns="38100" bIns="19050" anchor="ctr" anchorCtr="0">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1317108862568777"/>
                  <c:h val="8.7292453267250186E-2"/>
                </c:manualLayout>
              </c15:layout>
            </c:ext>
          </c:extLst>
        </c:dLbl>
      </c:pivotFmt>
      <c:pivotFmt>
        <c:idx val="22"/>
        <c:spPr>
          <a:solidFill>
            <a:schemeClr val="accent1"/>
          </a:solidFill>
          <a:ln>
            <a:solidFill>
              <a:schemeClr val="bg2"/>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23"/>
        <c:spPr>
          <a:solidFill>
            <a:schemeClr val="accent1"/>
          </a:solidFill>
          <a:ln>
            <a:solidFill>
              <a:schemeClr val="bg2"/>
            </a:solidFill>
          </a:ln>
          <a:effectLst>
            <a:outerShdw blurRad="254000" sx="102000" sy="102000" algn="ctr" rotWithShape="0">
              <a:prstClr val="black">
                <a:alpha val="20000"/>
              </a:prstClr>
            </a:outerShdw>
          </a:effectLst>
        </c:spPr>
        <c:dLbl>
          <c:idx val="0"/>
          <c:spPr>
            <a:noFill/>
            <a:ln>
              <a:noFill/>
            </a:ln>
            <a:effectLst>
              <a:glow>
                <a:schemeClr val="accent1"/>
              </a:glow>
              <a:outerShdw blurRad="50800" dir="2700000" algn="tl" rotWithShape="0">
                <a:prstClr val="black">
                  <a:alpha val="0"/>
                </a:prstClr>
              </a:outerShdw>
            </a:effectLst>
          </c:spPr>
          <c:txPr>
            <a:bodyPr rot="0" spcFirstLastPara="1" vertOverflow="ellipsis" vert="horz" wrap="square" lIns="38100" tIns="19050" rIns="38100" bIns="19050" anchor="ctr" anchorCtr="0">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5630716864231578"/>
                  <c:h val="0.10698689407179154"/>
                </c:manualLayout>
              </c15:layout>
            </c:ext>
          </c:extLst>
        </c:dLbl>
      </c:pivotFmt>
      <c:pivotFmt>
        <c:idx val="24"/>
        <c:spPr>
          <a:solidFill>
            <a:schemeClr val="accent1"/>
          </a:solidFill>
          <a:ln>
            <a:solidFill>
              <a:schemeClr val="bg2"/>
            </a:solidFill>
          </a:ln>
          <a:effectLst>
            <a:outerShdw blurRad="254000" sx="102000" sy="102000" algn="ctr" rotWithShape="0">
              <a:prstClr val="black">
                <a:alpha val="20000"/>
              </a:prstClr>
            </a:outerShdw>
          </a:effectLst>
        </c:spPr>
        <c:dLbl>
          <c:idx val="0"/>
          <c:spPr>
            <a:noFill/>
            <a:ln>
              <a:noFill/>
            </a:ln>
            <a:effectLst>
              <a:glow>
                <a:schemeClr val="accent1"/>
              </a:glow>
              <a:outerShdw blurRad="50800" dir="2700000" algn="tl" rotWithShape="0">
                <a:prstClr val="black">
                  <a:alpha val="0"/>
                </a:prstClr>
              </a:outerShdw>
            </a:effectLst>
          </c:spPr>
          <c:txPr>
            <a:bodyPr rot="0" spcFirstLastPara="1" vertOverflow="ellipsis" vert="horz" wrap="square" lIns="38100" tIns="19050" rIns="38100" bIns="19050" anchor="ctr" anchorCtr="0">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4580761519071972"/>
                  <c:h val="0.10788209694851335"/>
                </c:manualLayout>
              </c15:layout>
            </c:ext>
          </c:extLst>
        </c:dLbl>
      </c:pivotFmt>
      <c:pivotFmt>
        <c:idx val="25"/>
        <c:spPr>
          <a:solidFill>
            <a:schemeClr val="accent1"/>
          </a:solidFill>
          <a:ln>
            <a:solidFill>
              <a:schemeClr val="bg2"/>
            </a:solidFill>
          </a:ln>
          <a:effectLst>
            <a:outerShdw blurRad="254000" sx="102000" sy="102000" algn="ctr" rotWithShape="0">
              <a:prstClr val="black">
                <a:alpha val="20000"/>
              </a:prstClr>
            </a:outerShdw>
          </a:effectLst>
        </c:spPr>
        <c:dLbl>
          <c:idx val="0"/>
          <c:spPr>
            <a:noFill/>
            <a:ln>
              <a:noFill/>
            </a:ln>
            <a:effectLst>
              <a:glow>
                <a:schemeClr val="accent1"/>
              </a:glow>
              <a:outerShdw blurRad="50800" dir="2700000" algn="tl" rotWithShape="0">
                <a:prstClr val="black">
                  <a:alpha val="0"/>
                </a:prstClr>
              </a:outerShdw>
            </a:effectLst>
          </c:spPr>
          <c:txPr>
            <a:bodyPr rot="0" spcFirstLastPara="1" vertOverflow="ellipsis" vert="horz" wrap="square" lIns="38100" tIns="19050" rIns="38100" bIns="19050" anchor="ctr" anchorCtr="0">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3752787828953192"/>
                  <c:h val="0.11180137167429346"/>
                </c:manualLayout>
              </c15:layout>
            </c:ext>
          </c:extLst>
        </c:dLbl>
      </c:pivotFmt>
      <c:pivotFmt>
        <c:idx val="26"/>
        <c:spPr>
          <a:solidFill>
            <a:schemeClr val="accent1"/>
          </a:solidFill>
          <a:ln>
            <a:solidFill>
              <a:schemeClr val="bg2"/>
            </a:solidFill>
          </a:ln>
          <a:effectLst>
            <a:outerShdw blurRad="254000" sx="102000" sy="102000" algn="ctr" rotWithShape="0">
              <a:prstClr val="black">
                <a:alpha val="20000"/>
              </a:prstClr>
            </a:outerShdw>
          </a:effectLst>
        </c:spPr>
        <c:dLbl>
          <c:idx val="0"/>
          <c:spPr>
            <a:noFill/>
            <a:ln>
              <a:noFill/>
            </a:ln>
            <a:effectLst>
              <a:glow>
                <a:schemeClr val="accent1"/>
              </a:glow>
              <a:outerShdw blurRad="50800" dir="2700000" algn="tl" rotWithShape="0">
                <a:prstClr val="black">
                  <a:alpha val="0"/>
                </a:prstClr>
              </a:outerShdw>
            </a:effectLst>
          </c:spPr>
          <c:txPr>
            <a:bodyPr rot="0" spcFirstLastPara="1" vertOverflow="ellipsis" vert="horz" wrap="square" lIns="38100" tIns="19050" rIns="38100" bIns="19050" anchor="ctr" anchorCtr="0">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275951383272296"/>
                  <c:h val="9.4224801696835864E-2"/>
                </c:manualLayout>
              </c15:layout>
            </c:ext>
          </c:extLst>
        </c:dLbl>
      </c:pivotFmt>
      <c:pivotFmt>
        <c:idx val="27"/>
        <c:spPr>
          <a:solidFill>
            <a:schemeClr val="accent1"/>
          </a:solidFill>
          <a:ln>
            <a:solidFill>
              <a:schemeClr val="bg2"/>
            </a:solidFill>
          </a:ln>
          <a:effectLst>
            <a:outerShdw blurRad="254000" sx="102000" sy="102000" algn="ctr" rotWithShape="0">
              <a:prstClr val="black">
                <a:alpha val="20000"/>
              </a:prstClr>
            </a:outerShdw>
          </a:effectLst>
        </c:spPr>
        <c:dLbl>
          <c:idx val="0"/>
          <c:spPr>
            <a:noFill/>
            <a:ln>
              <a:noFill/>
            </a:ln>
            <a:effectLst>
              <a:glow>
                <a:schemeClr val="accent1"/>
              </a:glow>
              <a:outerShdw blurRad="50800" dir="2700000" algn="tl" rotWithShape="0">
                <a:prstClr val="black">
                  <a:alpha val="0"/>
                </a:prstClr>
              </a:outerShdw>
            </a:effectLst>
          </c:spPr>
          <c:txPr>
            <a:bodyPr rot="0" spcFirstLastPara="1" vertOverflow="ellipsis" vert="horz" wrap="square" lIns="38100" tIns="19050" rIns="38100" bIns="19050" anchor="ctr" anchorCtr="0">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1240804337113193"/>
                  <c:h val="0.10255504533144941"/>
                </c:manualLayout>
              </c15:layout>
            </c:ext>
          </c:extLst>
        </c:dLbl>
      </c:pivotFmt>
      <c:pivotFmt>
        <c:idx val="28"/>
        <c:spPr>
          <a:solidFill>
            <a:schemeClr val="accent1"/>
          </a:solidFill>
          <a:ln>
            <a:solidFill>
              <a:schemeClr val="bg2"/>
            </a:solidFill>
          </a:ln>
          <a:effectLst>
            <a:outerShdw blurRad="254000" sx="102000" sy="102000" algn="ctr" rotWithShape="0">
              <a:prstClr val="black">
                <a:alpha val="20000"/>
              </a:prstClr>
            </a:outerShdw>
          </a:effectLst>
        </c:spPr>
        <c:dLbl>
          <c:idx val="0"/>
          <c:spPr>
            <a:noFill/>
            <a:ln>
              <a:noFill/>
            </a:ln>
            <a:effectLst>
              <a:glow>
                <a:schemeClr val="accent1"/>
              </a:glow>
              <a:outerShdw blurRad="50800" dir="2700000" algn="tl" rotWithShape="0">
                <a:prstClr val="black">
                  <a:alpha val="0"/>
                </a:prstClr>
              </a:outerShdw>
            </a:effectLst>
          </c:spPr>
          <c:txPr>
            <a:bodyPr rot="0" spcFirstLastPara="1" vertOverflow="ellipsis" vert="horz" wrap="square" lIns="38100" tIns="19050" rIns="38100" bIns="19050" anchor="ctr" anchorCtr="0">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3144281524511292"/>
                  <c:h val="0.10168645945914868"/>
                </c:manualLayout>
              </c15:layout>
            </c:ext>
          </c:extLst>
        </c:dLbl>
      </c:pivotFmt>
      <c:pivotFmt>
        <c:idx val="29"/>
        <c:spPr>
          <a:solidFill>
            <a:schemeClr val="accent1"/>
          </a:solidFill>
          <a:ln>
            <a:solidFill>
              <a:schemeClr val="bg2"/>
            </a:solidFill>
          </a:ln>
          <a:effectLst>
            <a:outerShdw blurRad="254000" sx="102000" sy="102000" algn="ctr" rotWithShape="0">
              <a:prstClr val="black">
                <a:alpha val="20000"/>
              </a:prstClr>
            </a:outerShdw>
          </a:effectLst>
        </c:spPr>
        <c:dLbl>
          <c:idx val="0"/>
          <c:spPr>
            <a:noFill/>
            <a:ln>
              <a:noFill/>
            </a:ln>
            <a:effectLst>
              <a:glow>
                <a:schemeClr val="accent1"/>
              </a:glow>
              <a:outerShdw blurRad="50800" dir="2700000" algn="tl" rotWithShape="0">
                <a:prstClr val="black">
                  <a:alpha val="0"/>
                </a:prstClr>
              </a:outerShdw>
            </a:effectLst>
          </c:spPr>
          <c:txPr>
            <a:bodyPr rot="0" spcFirstLastPara="1" vertOverflow="ellipsis" vert="horz" wrap="square" lIns="38100" tIns="19050" rIns="38100" bIns="19050" anchor="ctr" anchorCtr="0">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1504700552281946"/>
                  <c:h val="9.325271804664309E-2"/>
                </c:manualLayout>
              </c15:layout>
            </c:ext>
          </c:extLst>
        </c:dLbl>
      </c:pivotFmt>
      <c:pivotFmt>
        <c:idx val="30"/>
        <c:spPr>
          <a:solidFill>
            <a:schemeClr val="accent1"/>
          </a:solidFill>
          <a:ln>
            <a:solidFill>
              <a:schemeClr val="bg2"/>
            </a:solidFill>
          </a:ln>
          <a:effectLst>
            <a:outerShdw blurRad="254000" sx="102000" sy="102000" algn="ctr" rotWithShape="0">
              <a:prstClr val="black">
                <a:alpha val="20000"/>
              </a:prstClr>
            </a:outerShdw>
          </a:effectLst>
        </c:spPr>
        <c:dLbl>
          <c:idx val="0"/>
          <c:spPr>
            <a:noFill/>
            <a:ln>
              <a:noFill/>
            </a:ln>
            <a:effectLst>
              <a:glow>
                <a:schemeClr val="accent1"/>
              </a:glow>
              <a:outerShdw blurRad="50800" dir="2700000" algn="tl" rotWithShape="0">
                <a:prstClr val="black">
                  <a:alpha val="0"/>
                </a:prstClr>
              </a:outerShdw>
            </a:effectLst>
          </c:spPr>
          <c:txPr>
            <a:bodyPr rot="0" spcFirstLastPara="1" vertOverflow="ellipsis" vert="horz" wrap="square" lIns="38100" tIns="19050" rIns="38100" bIns="19050" anchor="ctr" anchorCtr="0">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1574067188359852"/>
                  <c:h val="0.10297006864120312"/>
                </c:manualLayout>
              </c15:layout>
            </c:ext>
          </c:extLst>
        </c:dLbl>
      </c:pivotFmt>
      <c:pivotFmt>
        <c:idx val="31"/>
        <c:spPr>
          <a:solidFill>
            <a:schemeClr val="accent1"/>
          </a:solidFill>
          <a:ln>
            <a:solidFill>
              <a:schemeClr val="bg2"/>
            </a:solidFill>
          </a:ln>
          <a:effectLst>
            <a:outerShdw blurRad="254000" sx="102000" sy="102000" algn="ctr" rotWithShape="0">
              <a:prstClr val="black">
                <a:alpha val="20000"/>
              </a:prstClr>
            </a:outerShdw>
          </a:effectLst>
        </c:spPr>
        <c:dLbl>
          <c:idx val="0"/>
          <c:spPr>
            <a:noFill/>
            <a:ln>
              <a:noFill/>
            </a:ln>
            <a:effectLst>
              <a:glow>
                <a:schemeClr val="accent1"/>
              </a:glow>
              <a:outerShdw blurRad="50800" dir="2700000" algn="tl" rotWithShape="0">
                <a:prstClr val="black">
                  <a:alpha val="0"/>
                </a:prstClr>
              </a:outerShdw>
            </a:effectLst>
          </c:spPr>
          <c:txPr>
            <a:bodyPr rot="0" spcFirstLastPara="1" vertOverflow="ellipsis" vert="horz" wrap="square" lIns="38100" tIns="19050" rIns="38100" bIns="19050" anchor="ctr" anchorCtr="0">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3316792273898131"/>
                  <c:h val="0.10099228648791594"/>
                </c:manualLayout>
              </c15:layout>
            </c:ext>
          </c:extLst>
        </c:dLbl>
      </c:pivotFmt>
      <c:pivotFmt>
        <c:idx val="32"/>
        <c:spPr>
          <a:solidFill>
            <a:schemeClr val="accent1"/>
          </a:solidFill>
          <a:ln>
            <a:solidFill>
              <a:schemeClr val="bg2"/>
            </a:solidFill>
          </a:ln>
          <a:effectLst>
            <a:outerShdw blurRad="254000" sx="102000" sy="102000" algn="ctr" rotWithShape="0">
              <a:prstClr val="black">
                <a:alpha val="20000"/>
              </a:prstClr>
            </a:outerShdw>
          </a:effectLst>
        </c:spPr>
        <c:dLbl>
          <c:idx val="0"/>
          <c:spPr>
            <a:noFill/>
            <a:ln>
              <a:noFill/>
            </a:ln>
            <a:effectLst>
              <a:glow>
                <a:schemeClr val="accent1"/>
              </a:glow>
              <a:outerShdw blurRad="50800" dir="2700000" algn="tl" rotWithShape="0">
                <a:prstClr val="black">
                  <a:alpha val="0"/>
                </a:prstClr>
              </a:outerShdw>
            </a:effectLst>
          </c:spPr>
          <c:txPr>
            <a:bodyPr rot="0" spcFirstLastPara="1" vertOverflow="ellipsis" vert="horz" wrap="square" lIns="38100" tIns="19050" rIns="38100" bIns="19050" anchor="ctr" anchorCtr="0">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1317108862568777"/>
                  <c:h val="8.7292453267250186E-2"/>
                </c:manualLayout>
              </c15:layout>
            </c:ext>
          </c:extLst>
        </c:dLbl>
      </c:pivotFmt>
    </c:pivotFmts>
    <c:plotArea>
      <c:layout>
        <c:manualLayout>
          <c:layoutTarget val="inner"/>
          <c:xMode val="edge"/>
          <c:yMode val="edge"/>
          <c:x val="1.8862932449308537E-2"/>
          <c:y val="9.4072897651144044E-2"/>
          <c:w val="0.80845095140432688"/>
          <c:h val="0.88741638663548561"/>
        </c:manualLayout>
      </c:layout>
      <c:pieChart>
        <c:varyColors val="1"/>
        <c:ser>
          <c:idx val="0"/>
          <c:order val="0"/>
          <c:tx>
            <c:strRef>
              <c:f>'Revenue by Ship Country'!$B$1</c:f>
              <c:strCache>
                <c:ptCount val="1"/>
                <c:pt idx="0">
                  <c:v>Total</c:v>
                </c:pt>
              </c:strCache>
            </c:strRef>
          </c:tx>
          <c:spPr>
            <a:ln>
              <a:solidFill>
                <a:schemeClr val="bg2"/>
              </a:solidFill>
            </a:ln>
          </c:spPr>
          <c:dPt>
            <c:idx val="0"/>
            <c:bubble3D val="0"/>
            <c:spPr>
              <a:solidFill>
                <a:schemeClr val="accent1"/>
              </a:solidFill>
              <a:ln>
                <a:solidFill>
                  <a:schemeClr val="bg2"/>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2FD-4F75-A868-0E6546FFC739}"/>
              </c:ext>
            </c:extLst>
          </c:dPt>
          <c:dPt>
            <c:idx val="1"/>
            <c:bubble3D val="0"/>
            <c:spPr>
              <a:solidFill>
                <a:schemeClr val="accent2"/>
              </a:solidFill>
              <a:ln>
                <a:solidFill>
                  <a:schemeClr val="bg2"/>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2FD-4F75-A868-0E6546FFC739}"/>
              </c:ext>
            </c:extLst>
          </c:dPt>
          <c:dPt>
            <c:idx val="2"/>
            <c:bubble3D val="0"/>
            <c:spPr>
              <a:solidFill>
                <a:schemeClr val="accent3"/>
              </a:solidFill>
              <a:ln>
                <a:solidFill>
                  <a:schemeClr val="bg2"/>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2FD-4F75-A868-0E6546FFC739}"/>
              </c:ext>
            </c:extLst>
          </c:dPt>
          <c:dPt>
            <c:idx val="3"/>
            <c:bubble3D val="0"/>
            <c:spPr>
              <a:solidFill>
                <a:schemeClr val="accent4"/>
              </a:solidFill>
              <a:ln>
                <a:solidFill>
                  <a:schemeClr val="bg2"/>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52FD-4F75-A868-0E6546FFC739}"/>
              </c:ext>
            </c:extLst>
          </c:dPt>
          <c:dPt>
            <c:idx val="4"/>
            <c:bubble3D val="0"/>
            <c:spPr>
              <a:solidFill>
                <a:schemeClr val="accent5"/>
              </a:solidFill>
              <a:ln>
                <a:solidFill>
                  <a:schemeClr val="bg2"/>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52FD-4F75-A868-0E6546FFC739}"/>
              </c:ext>
            </c:extLst>
          </c:dPt>
          <c:dPt>
            <c:idx val="5"/>
            <c:bubble3D val="0"/>
            <c:spPr>
              <a:solidFill>
                <a:schemeClr val="accent6"/>
              </a:solidFill>
              <a:ln>
                <a:solidFill>
                  <a:schemeClr val="bg2"/>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52FD-4F75-A868-0E6546FFC739}"/>
              </c:ext>
            </c:extLst>
          </c:dPt>
          <c:dPt>
            <c:idx val="6"/>
            <c:bubble3D val="0"/>
            <c:spPr>
              <a:solidFill>
                <a:schemeClr val="accent1">
                  <a:lumMod val="60000"/>
                </a:schemeClr>
              </a:solidFill>
              <a:ln>
                <a:solidFill>
                  <a:schemeClr val="bg2"/>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52FD-4F75-A868-0E6546FFC739}"/>
              </c:ext>
            </c:extLst>
          </c:dPt>
          <c:dPt>
            <c:idx val="7"/>
            <c:bubble3D val="0"/>
            <c:spPr>
              <a:solidFill>
                <a:schemeClr val="accent2">
                  <a:lumMod val="60000"/>
                </a:schemeClr>
              </a:solidFill>
              <a:ln>
                <a:solidFill>
                  <a:schemeClr val="bg2"/>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52FD-4F75-A868-0E6546FFC739}"/>
              </c:ext>
            </c:extLst>
          </c:dPt>
          <c:dPt>
            <c:idx val="8"/>
            <c:bubble3D val="0"/>
            <c:spPr>
              <a:solidFill>
                <a:schemeClr val="accent3">
                  <a:lumMod val="60000"/>
                </a:schemeClr>
              </a:solidFill>
              <a:ln>
                <a:solidFill>
                  <a:schemeClr val="bg2"/>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52FD-4F75-A868-0E6546FFC739}"/>
              </c:ext>
            </c:extLst>
          </c:dPt>
          <c:dPt>
            <c:idx val="9"/>
            <c:bubble3D val="0"/>
            <c:spPr>
              <a:solidFill>
                <a:schemeClr val="accent4">
                  <a:lumMod val="60000"/>
                </a:schemeClr>
              </a:solidFill>
              <a:ln>
                <a:solidFill>
                  <a:schemeClr val="bg2"/>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52FD-4F75-A868-0E6546FFC739}"/>
              </c:ext>
            </c:extLst>
          </c:dPt>
          <c:dLbls>
            <c:dLbl>
              <c:idx val="0"/>
              <c:spPr>
                <a:noFill/>
                <a:ln>
                  <a:noFill/>
                </a:ln>
                <a:effectLst>
                  <a:glow>
                    <a:schemeClr val="accent1"/>
                  </a:glow>
                  <a:outerShdw blurRad="50800" dir="2700000" algn="tl" rotWithShape="0">
                    <a:prstClr val="black">
                      <a:alpha val="0"/>
                    </a:prstClr>
                  </a:outerShdw>
                </a:effectLst>
              </c:spPr>
              <c:txPr>
                <a:bodyPr rot="0" spcFirstLastPara="1" vertOverflow="ellipsis" vert="horz" wrap="square" lIns="38100" tIns="19050" rIns="38100" bIns="19050" anchor="ctr" anchorCtr="0">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5630716864231578"/>
                      <c:h val="0.10698689407179154"/>
                    </c:manualLayout>
                  </c15:layout>
                </c:ext>
                <c:ext xmlns:c16="http://schemas.microsoft.com/office/drawing/2014/chart" uri="{C3380CC4-5D6E-409C-BE32-E72D297353CC}">
                  <c16:uniqueId val="{00000001-52FD-4F75-A868-0E6546FFC739}"/>
                </c:ext>
              </c:extLst>
            </c:dLbl>
            <c:dLbl>
              <c:idx val="1"/>
              <c:spPr>
                <a:noFill/>
                <a:ln>
                  <a:noFill/>
                </a:ln>
                <a:effectLst>
                  <a:glow>
                    <a:schemeClr val="accent1"/>
                  </a:glow>
                  <a:outerShdw blurRad="50800" dir="2700000" algn="tl" rotWithShape="0">
                    <a:prstClr val="black">
                      <a:alpha val="0"/>
                    </a:prstClr>
                  </a:outerShdw>
                </a:effectLst>
              </c:spPr>
              <c:txPr>
                <a:bodyPr rot="0" spcFirstLastPara="1" vertOverflow="ellipsis" vert="horz" wrap="square" lIns="38100" tIns="19050" rIns="38100" bIns="19050" anchor="ctr" anchorCtr="0">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4580761519071972"/>
                      <c:h val="0.10788209694851335"/>
                    </c:manualLayout>
                  </c15:layout>
                </c:ext>
                <c:ext xmlns:c16="http://schemas.microsoft.com/office/drawing/2014/chart" uri="{C3380CC4-5D6E-409C-BE32-E72D297353CC}">
                  <c16:uniqueId val="{00000003-52FD-4F75-A868-0E6546FFC739}"/>
                </c:ext>
              </c:extLst>
            </c:dLbl>
            <c:dLbl>
              <c:idx val="2"/>
              <c:spPr>
                <a:noFill/>
                <a:ln>
                  <a:noFill/>
                </a:ln>
                <a:effectLst>
                  <a:glow>
                    <a:schemeClr val="accent1"/>
                  </a:glow>
                  <a:outerShdw blurRad="50800" dir="2700000" algn="tl" rotWithShape="0">
                    <a:prstClr val="black">
                      <a:alpha val="0"/>
                    </a:prstClr>
                  </a:outerShdw>
                </a:effectLst>
              </c:spPr>
              <c:txPr>
                <a:bodyPr rot="0" spcFirstLastPara="1" vertOverflow="ellipsis" vert="horz" wrap="square" lIns="38100" tIns="19050" rIns="38100" bIns="19050" anchor="ctr" anchorCtr="0">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3752787828953192"/>
                      <c:h val="0.11180137167429346"/>
                    </c:manualLayout>
                  </c15:layout>
                </c:ext>
                <c:ext xmlns:c16="http://schemas.microsoft.com/office/drawing/2014/chart" uri="{C3380CC4-5D6E-409C-BE32-E72D297353CC}">
                  <c16:uniqueId val="{00000005-52FD-4F75-A868-0E6546FFC739}"/>
                </c:ext>
              </c:extLst>
            </c:dLbl>
            <c:dLbl>
              <c:idx val="3"/>
              <c:spPr>
                <a:noFill/>
                <a:ln>
                  <a:noFill/>
                </a:ln>
                <a:effectLst>
                  <a:glow>
                    <a:schemeClr val="accent1"/>
                  </a:glow>
                  <a:outerShdw blurRad="50800" dir="2700000" algn="tl" rotWithShape="0">
                    <a:prstClr val="black">
                      <a:alpha val="0"/>
                    </a:prstClr>
                  </a:outerShdw>
                </a:effectLst>
              </c:spPr>
              <c:txPr>
                <a:bodyPr rot="0" spcFirstLastPara="1" vertOverflow="ellipsis" vert="horz" wrap="square" lIns="38100" tIns="19050" rIns="38100" bIns="19050" anchor="ctr" anchorCtr="0">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275951383272296"/>
                      <c:h val="9.4224801696835864E-2"/>
                    </c:manualLayout>
                  </c15:layout>
                </c:ext>
                <c:ext xmlns:c16="http://schemas.microsoft.com/office/drawing/2014/chart" uri="{C3380CC4-5D6E-409C-BE32-E72D297353CC}">
                  <c16:uniqueId val="{00000007-52FD-4F75-A868-0E6546FFC739}"/>
                </c:ext>
              </c:extLst>
            </c:dLbl>
            <c:dLbl>
              <c:idx val="4"/>
              <c:spPr>
                <a:noFill/>
                <a:ln>
                  <a:noFill/>
                </a:ln>
                <a:effectLst>
                  <a:glow>
                    <a:schemeClr val="accent1"/>
                  </a:glow>
                  <a:outerShdw blurRad="50800" dir="2700000" algn="tl" rotWithShape="0">
                    <a:prstClr val="black">
                      <a:alpha val="0"/>
                    </a:prstClr>
                  </a:outerShdw>
                </a:effectLst>
              </c:spPr>
              <c:txPr>
                <a:bodyPr rot="0" spcFirstLastPara="1" vertOverflow="ellipsis" vert="horz" wrap="square" lIns="38100" tIns="19050" rIns="38100" bIns="19050" anchor="ctr" anchorCtr="0">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1240804337113193"/>
                      <c:h val="0.10255504533144941"/>
                    </c:manualLayout>
                  </c15:layout>
                </c:ext>
                <c:ext xmlns:c16="http://schemas.microsoft.com/office/drawing/2014/chart" uri="{C3380CC4-5D6E-409C-BE32-E72D297353CC}">
                  <c16:uniqueId val="{00000009-52FD-4F75-A868-0E6546FFC739}"/>
                </c:ext>
              </c:extLst>
            </c:dLbl>
            <c:dLbl>
              <c:idx val="5"/>
              <c:spPr>
                <a:noFill/>
                <a:ln>
                  <a:noFill/>
                </a:ln>
                <a:effectLst>
                  <a:glow>
                    <a:schemeClr val="accent1"/>
                  </a:glow>
                  <a:outerShdw blurRad="50800" dir="2700000" algn="tl" rotWithShape="0">
                    <a:prstClr val="black">
                      <a:alpha val="0"/>
                    </a:prstClr>
                  </a:outerShdw>
                </a:effectLst>
              </c:spPr>
              <c:txPr>
                <a:bodyPr rot="0" spcFirstLastPara="1" vertOverflow="ellipsis" vert="horz" wrap="square" lIns="38100" tIns="19050" rIns="38100" bIns="19050" anchor="ctr" anchorCtr="0">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3144281524511292"/>
                      <c:h val="0.10168645945914868"/>
                    </c:manualLayout>
                  </c15:layout>
                </c:ext>
                <c:ext xmlns:c16="http://schemas.microsoft.com/office/drawing/2014/chart" uri="{C3380CC4-5D6E-409C-BE32-E72D297353CC}">
                  <c16:uniqueId val="{0000000B-52FD-4F75-A868-0E6546FFC739}"/>
                </c:ext>
              </c:extLst>
            </c:dLbl>
            <c:dLbl>
              <c:idx val="6"/>
              <c:spPr>
                <a:noFill/>
                <a:ln>
                  <a:noFill/>
                </a:ln>
                <a:effectLst>
                  <a:glow>
                    <a:schemeClr val="accent1"/>
                  </a:glow>
                  <a:outerShdw blurRad="50800" dir="2700000" algn="tl" rotWithShape="0">
                    <a:prstClr val="black">
                      <a:alpha val="0"/>
                    </a:prstClr>
                  </a:outerShdw>
                </a:effectLst>
              </c:spPr>
              <c:txPr>
                <a:bodyPr rot="0" spcFirstLastPara="1" vertOverflow="ellipsis" vert="horz" wrap="square" lIns="38100" tIns="19050" rIns="38100" bIns="19050" anchor="ctr" anchorCtr="0">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1504700552281946"/>
                      <c:h val="9.325271804664309E-2"/>
                    </c:manualLayout>
                  </c15:layout>
                </c:ext>
                <c:ext xmlns:c16="http://schemas.microsoft.com/office/drawing/2014/chart" uri="{C3380CC4-5D6E-409C-BE32-E72D297353CC}">
                  <c16:uniqueId val="{0000000D-52FD-4F75-A868-0E6546FFC739}"/>
                </c:ext>
              </c:extLst>
            </c:dLbl>
            <c:dLbl>
              <c:idx val="7"/>
              <c:spPr>
                <a:noFill/>
                <a:ln>
                  <a:noFill/>
                </a:ln>
                <a:effectLst>
                  <a:glow>
                    <a:schemeClr val="accent1"/>
                  </a:glow>
                  <a:outerShdw blurRad="50800" dir="2700000" algn="tl" rotWithShape="0">
                    <a:prstClr val="black">
                      <a:alpha val="0"/>
                    </a:prstClr>
                  </a:outerShdw>
                </a:effectLst>
              </c:spPr>
              <c:txPr>
                <a:bodyPr rot="0" spcFirstLastPara="1" vertOverflow="ellipsis" vert="horz" wrap="square" lIns="38100" tIns="19050" rIns="38100" bIns="19050" anchor="ctr" anchorCtr="0">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1574067188359852"/>
                      <c:h val="0.10297006864120312"/>
                    </c:manualLayout>
                  </c15:layout>
                </c:ext>
                <c:ext xmlns:c16="http://schemas.microsoft.com/office/drawing/2014/chart" uri="{C3380CC4-5D6E-409C-BE32-E72D297353CC}">
                  <c16:uniqueId val="{0000000F-52FD-4F75-A868-0E6546FFC739}"/>
                </c:ext>
              </c:extLst>
            </c:dLbl>
            <c:dLbl>
              <c:idx val="8"/>
              <c:spPr>
                <a:noFill/>
                <a:ln>
                  <a:noFill/>
                </a:ln>
                <a:effectLst>
                  <a:glow>
                    <a:schemeClr val="accent1"/>
                  </a:glow>
                  <a:outerShdw blurRad="50800" dir="2700000" algn="tl" rotWithShape="0">
                    <a:prstClr val="black">
                      <a:alpha val="0"/>
                    </a:prstClr>
                  </a:outerShdw>
                </a:effectLst>
              </c:spPr>
              <c:txPr>
                <a:bodyPr rot="0" spcFirstLastPara="1" vertOverflow="ellipsis" vert="horz" wrap="square" lIns="38100" tIns="19050" rIns="38100" bIns="19050" anchor="ctr" anchorCtr="0">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3316792273898131"/>
                      <c:h val="0.10099228648791594"/>
                    </c:manualLayout>
                  </c15:layout>
                </c:ext>
                <c:ext xmlns:c16="http://schemas.microsoft.com/office/drawing/2014/chart" uri="{C3380CC4-5D6E-409C-BE32-E72D297353CC}">
                  <c16:uniqueId val="{00000011-52FD-4F75-A868-0E6546FFC739}"/>
                </c:ext>
              </c:extLst>
            </c:dLbl>
            <c:dLbl>
              <c:idx val="9"/>
              <c:spPr>
                <a:noFill/>
                <a:ln>
                  <a:noFill/>
                </a:ln>
                <a:effectLst>
                  <a:glow>
                    <a:schemeClr val="accent1"/>
                  </a:glow>
                  <a:outerShdw blurRad="50800" dir="2700000" algn="tl" rotWithShape="0">
                    <a:prstClr val="black">
                      <a:alpha val="0"/>
                    </a:prstClr>
                  </a:outerShdw>
                </a:effectLst>
              </c:spPr>
              <c:txPr>
                <a:bodyPr rot="0" spcFirstLastPara="1" vertOverflow="ellipsis" vert="horz" wrap="square" lIns="38100" tIns="19050" rIns="38100" bIns="19050" anchor="ctr" anchorCtr="0">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1317108862568777"/>
                      <c:h val="8.7292453267250186E-2"/>
                    </c:manualLayout>
                  </c15:layout>
                </c:ext>
                <c:ext xmlns:c16="http://schemas.microsoft.com/office/drawing/2014/chart" uri="{C3380CC4-5D6E-409C-BE32-E72D297353CC}">
                  <c16:uniqueId val="{00000013-52FD-4F75-A868-0E6546FFC739}"/>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'Revenue by Ship Country'!$A$2:$A$11</c:f>
              <c:strCache>
                <c:ptCount val="10"/>
                <c:pt idx="0">
                  <c:v>USA</c:v>
                </c:pt>
                <c:pt idx="1">
                  <c:v>Germany</c:v>
                </c:pt>
                <c:pt idx="2">
                  <c:v>Austria</c:v>
                </c:pt>
                <c:pt idx="3">
                  <c:v>Brazil</c:v>
                </c:pt>
                <c:pt idx="4">
                  <c:v>France</c:v>
                </c:pt>
                <c:pt idx="5">
                  <c:v>Venezuela</c:v>
                </c:pt>
                <c:pt idx="6">
                  <c:v>UK</c:v>
                </c:pt>
                <c:pt idx="7">
                  <c:v>Sweden</c:v>
                </c:pt>
                <c:pt idx="8">
                  <c:v>Ireland</c:v>
                </c:pt>
                <c:pt idx="9">
                  <c:v>Canada</c:v>
                </c:pt>
              </c:strCache>
            </c:strRef>
          </c:cat>
          <c:val>
            <c:numRef>
              <c:f>'Revenue by Ship Country'!$B$2:$B$11</c:f>
              <c:numCache>
                <c:formatCode>"$"#,##0.00</c:formatCode>
                <c:ptCount val="10"/>
                <c:pt idx="0">
                  <c:v>263566.98</c:v>
                </c:pt>
                <c:pt idx="1">
                  <c:v>244640.63</c:v>
                </c:pt>
                <c:pt idx="2">
                  <c:v>139496.63</c:v>
                </c:pt>
                <c:pt idx="3">
                  <c:v>114968.48</c:v>
                </c:pt>
                <c:pt idx="4">
                  <c:v>85498.76</c:v>
                </c:pt>
                <c:pt idx="5">
                  <c:v>60814.89</c:v>
                </c:pt>
                <c:pt idx="6">
                  <c:v>60616.51</c:v>
                </c:pt>
                <c:pt idx="7">
                  <c:v>59523.7</c:v>
                </c:pt>
                <c:pt idx="8">
                  <c:v>57317.39</c:v>
                </c:pt>
                <c:pt idx="9">
                  <c:v>55334.1</c:v>
                </c:pt>
              </c:numCache>
            </c:numRef>
          </c:val>
          <c:extLst>
            <c:ext xmlns:c16="http://schemas.microsoft.com/office/drawing/2014/chart" uri="{C3380CC4-5D6E-409C-BE32-E72D297353CC}">
              <c16:uniqueId val="{00000014-52FD-4F75-A868-0E6546FFC73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1050" b="1" i="0" u="none" strike="noStrike" kern="1200" baseline="0">
              <a:solidFill>
                <a:schemeClr val="bg2">
                  <a:lumMod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[Santarin_StoryTellingEX1.xlsx]Category Revenue!PivotTable5</c:name>
    <c:fmtId val="5"/>
  </c:pivotSource>
  <c:chart>
    <c:title>
      <c:tx>
        <c:rich>
          <a:bodyPr rot="0" spcFirstLastPara="1" vertOverflow="ellipsis" vert="horz" wrap="square" anchor="ctr" anchorCtr="1"/>
          <a:lstStyle/>
          <a:p>
            <a:pPr>
              <a:defRPr sz="1800" b="1" i="0" u="none" strike="noStrike" kern="1200" spc="0" baseline="0">
                <a:solidFill>
                  <a:schemeClr val="bg2">
                    <a:lumMod val="25000"/>
                  </a:schemeClr>
                </a:solidFill>
                <a:latin typeface="Aptos" panose="020B0004020202020204" pitchFamily="34" charset="0"/>
                <a:ea typeface="+mn-ea"/>
                <a:cs typeface="+mn-cs"/>
              </a:defRPr>
            </a:pPr>
            <a:r>
              <a:rPr lang="en-US" sz="1800" b="1">
                <a:solidFill>
                  <a:schemeClr val="bg2">
                    <a:lumMod val="25000"/>
                  </a:schemeClr>
                </a:solidFill>
                <a:latin typeface="Aptos" panose="020B0004020202020204" pitchFamily="34" charset="0"/>
              </a:rPr>
              <a:t>Category Revenue</a:t>
            </a:r>
          </a:p>
        </c:rich>
      </c:tx>
      <c:layout>
        <c:manualLayout>
          <c:xMode val="edge"/>
          <c:yMode val="edge"/>
          <c:x val="0.34665430543438613"/>
          <c:y val="9.714138148617206E-3"/>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bg2">
                  <a:lumMod val="25000"/>
                </a:schemeClr>
              </a:solidFill>
              <a:latin typeface="Aptos" panose="020B0004020202020204" pitchFamily="34" charset="0"/>
              <a:ea typeface="+mn-ea"/>
              <a:cs typeface="+mn-cs"/>
            </a:defRPr>
          </a:pPr>
          <a:endParaRPr lang="en-US"/>
        </a:p>
      </c:txPr>
    </c:title>
    <c:autoTitleDeleted val="0"/>
    <c:pivotFmts>
      <c:pivotFmt>
        <c:idx val="0"/>
        <c:spPr>
          <a:solidFill>
            <a:schemeClr val="tx2">
              <a:lumMod val="90000"/>
              <a:lumOff val="10000"/>
            </a:schemeClr>
          </a:solidFill>
          <a:ln>
            <a:noFill/>
          </a:ln>
          <a:effectLst/>
        </c:spPr>
        <c:marker>
          <c:symbol val="none"/>
        </c:marker>
      </c:pivotFmt>
      <c:pivotFmt>
        <c:idx val="1"/>
        <c:spPr>
          <a:solidFill>
            <a:schemeClr val="accent1">
              <a:lumMod val="60000"/>
              <a:lumOff val="40000"/>
            </a:schemeClr>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78393282971773"/>
          <c:y val="9.7980384030943501E-2"/>
          <c:w val="0.86636341623668189"/>
          <c:h val="0.72003883356241727"/>
        </c:manualLayout>
      </c:layout>
      <c:barChart>
        <c:barDir val="col"/>
        <c:grouping val="clustered"/>
        <c:varyColors val="0"/>
        <c:ser>
          <c:idx val="0"/>
          <c:order val="0"/>
          <c:tx>
            <c:strRef>
              <c:f>'Category Revenue'!$B$1</c:f>
              <c:strCache>
                <c:ptCount val="1"/>
                <c:pt idx="0">
                  <c:v>1997 Revenue</c:v>
                </c:pt>
              </c:strCache>
            </c:strRef>
          </c:tx>
          <c:spPr>
            <a:solidFill>
              <a:schemeClr val="tx2">
                <a:lumMod val="90000"/>
                <a:lumOff val="10000"/>
              </a:schemeClr>
            </a:solidFill>
            <a:ln>
              <a:noFill/>
            </a:ln>
            <a:effectLst/>
          </c:spPr>
          <c:invertIfNegative val="0"/>
          <c:cat>
            <c:multiLvlStrRef>
              <c:f>'Category Revenue'!$A$2:$A$17</c:f>
              <c:multiLvlStrCache>
                <c:ptCount val="8"/>
                <c:lvl>
                  <c:pt idx="0">
                    <c:v>Grains/
Cereals</c:v>
                  </c:pt>
                  <c:pt idx="1">
                    <c:v>Produce</c:v>
                  </c:pt>
                  <c:pt idx="2">
                    <c:v>Condiments</c:v>
                  </c:pt>
                  <c:pt idx="3">
                    <c:v>Dairy Products</c:v>
                  </c:pt>
                  <c:pt idx="4">
                    <c:v>Confections</c:v>
                  </c:pt>
                  <c:pt idx="5">
                    <c:v>Seafood</c:v>
                  </c:pt>
                  <c:pt idx="6">
                    <c:v>Meat/
Poultry</c:v>
                  </c:pt>
                  <c:pt idx="7">
                    <c:v>Beverages</c:v>
                  </c:pt>
                </c:lvl>
                <c:lvl>
                  <c:pt idx="0">
                    <c:v>-49.7</c:v>
                  </c:pt>
                  <c:pt idx="1">
                    <c:v>-43.8</c:v>
                  </c:pt>
                  <c:pt idx="2">
                    <c:v>-42.1</c:v>
                  </c:pt>
                  <c:pt idx="3">
                    <c:v>-33.2</c:v>
                  </c:pt>
                  <c:pt idx="4">
                    <c:v>-33.1</c:v>
                  </c:pt>
                  <c:pt idx="5">
                    <c:v>-31.7</c:v>
                  </c:pt>
                  <c:pt idx="6">
                    <c:v>-31.2</c:v>
                  </c:pt>
                  <c:pt idx="7">
                    <c:v>10.7</c:v>
                  </c:pt>
                </c:lvl>
              </c:multiLvlStrCache>
            </c:multiLvlStrRef>
          </c:cat>
          <c:val>
            <c:numRef>
              <c:f>'Category Revenue'!$B$2:$B$17</c:f>
              <c:numCache>
                <c:formatCode>"$"#,##0.00</c:formatCode>
                <c:ptCount val="8"/>
                <c:pt idx="0">
                  <c:v>60486.95</c:v>
                </c:pt>
                <c:pt idx="1">
                  <c:v>57718.55</c:v>
                </c:pt>
                <c:pt idx="2">
                  <c:v>59679</c:v>
                </c:pt>
                <c:pt idx="3">
                  <c:v>123910.8</c:v>
                </c:pt>
                <c:pt idx="4">
                  <c:v>87227.77</c:v>
                </c:pt>
                <c:pt idx="5">
                  <c:v>71320.649999999994</c:v>
                </c:pt>
                <c:pt idx="6">
                  <c:v>87621.03</c:v>
                </c:pt>
                <c:pt idx="7">
                  <c:v>110424</c:v>
                </c:pt>
              </c:numCache>
            </c:numRef>
          </c:val>
          <c:extLst>
            <c:ext xmlns:c16="http://schemas.microsoft.com/office/drawing/2014/chart" uri="{C3380CC4-5D6E-409C-BE32-E72D297353CC}">
              <c16:uniqueId val="{00000000-6D0D-4558-87AC-76B7CE897900}"/>
            </c:ext>
          </c:extLst>
        </c:ser>
        <c:ser>
          <c:idx val="1"/>
          <c:order val="1"/>
          <c:tx>
            <c:strRef>
              <c:f>'Category Revenue'!$C$1</c:f>
              <c:strCache>
                <c:ptCount val="1"/>
                <c:pt idx="0">
                  <c:v>1998 Revenue</c:v>
                </c:pt>
              </c:strCache>
            </c:strRef>
          </c:tx>
          <c:spPr>
            <a:solidFill>
              <a:schemeClr val="accent1">
                <a:lumMod val="60000"/>
                <a:lumOff val="40000"/>
              </a:schemeClr>
            </a:solidFill>
            <a:ln>
              <a:noFill/>
            </a:ln>
            <a:effectLst/>
          </c:spPr>
          <c:invertIfNegative val="0"/>
          <c:cat>
            <c:multiLvlStrRef>
              <c:f>'Category Revenue'!$A$2:$A$17</c:f>
              <c:multiLvlStrCache>
                <c:ptCount val="8"/>
                <c:lvl>
                  <c:pt idx="0">
                    <c:v>Grains/
Cereals</c:v>
                  </c:pt>
                  <c:pt idx="1">
                    <c:v>Produce</c:v>
                  </c:pt>
                  <c:pt idx="2">
                    <c:v>Condiments</c:v>
                  </c:pt>
                  <c:pt idx="3">
                    <c:v>Dairy Products</c:v>
                  </c:pt>
                  <c:pt idx="4">
                    <c:v>Confections</c:v>
                  </c:pt>
                  <c:pt idx="5">
                    <c:v>Seafood</c:v>
                  </c:pt>
                  <c:pt idx="6">
                    <c:v>Meat/
Poultry</c:v>
                  </c:pt>
                  <c:pt idx="7">
                    <c:v>Beverages</c:v>
                  </c:pt>
                </c:lvl>
                <c:lvl>
                  <c:pt idx="0">
                    <c:v>-49.7</c:v>
                  </c:pt>
                  <c:pt idx="1">
                    <c:v>-43.8</c:v>
                  </c:pt>
                  <c:pt idx="2">
                    <c:v>-42.1</c:v>
                  </c:pt>
                  <c:pt idx="3">
                    <c:v>-33.2</c:v>
                  </c:pt>
                  <c:pt idx="4">
                    <c:v>-33.1</c:v>
                  </c:pt>
                  <c:pt idx="5">
                    <c:v>-31.7</c:v>
                  </c:pt>
                  <c:pt idx="6">
                    <c:v>-31.2</c:v>
                  </c:pt>
                  <c:pt idx="7">
                    <c:v>10.7</c:v>
                  </c:pt>
                </c:lvl>
              </c:multiLvlStrCache>
            </c:multiLvlStrRef>
          </c:cat>
          <c:val>
            <c:numRef>
              <c:f>'Category Revenue'!$C$2:$C$17</c:f>
              <c:numCache>
                <c:formatCode>"$"#,##0.00</c:formatCode>
                <c:ptCount val="8"/>
                <c:pt idx="0">
                  <c:v>30422.25</c:v>
                </c:pt>
                <c:pt idx="1">
                  <c:v>32415.85</c:v>
                </c:pt>
                <c:pt idx="2">
                  <c:v>34557.449999999997</c:v>
                </c:pt>
                <c:pt idx="3">
                  <c:v>82803.899999999994</c:v>
                </c:pt>
                <c:pt idx="4">
                  <c:v>58359.73</c:v>
                </c:pt>
                <c:pt idx="5">
                  <c:v>48712.84</c:v>
                </c:pt>
                <c:pt idx="6">
                  <c:v>60275.57</c:v>
                </c:pt>
                <c:pt idx="7">
                  <c:v>122223.75</c:v>
                </c:pt>
              </c:numCache>
            </c:numRef>
          </c:val>
          <c:extLst>
            <c:ext xmlns:c16="http://schemas.microsoft.com/office/drawing/2014/chart" uri="{C3380CC4-5D6E-409C-BE32-E72D297353CC}">
              <c16:uniqueId val="{00000001-6D0D-4558-87AC-76B7CE897900}"/>
            </c:ext>
          </c:extLst>
        </c:ser>
        <c:dLbls>
          <c:showLegendKey val="0"/>
          <c:showVal val="0"/>
          <c:showCatName val="0"/>
          <c:showSerName val="0"/>
          <c:showPercent val="0"/>
          <c:showBubbleSize val="0"/>
        </c:dLbls>
        <c:gapWidth val="219"/>
        <c:overlap val="-27"/>
        <c:axId val="1548016176"/>
        <c:axId val="1548024336"/>
      </c:barChart>
      <c:catAx>
        <c:axId val="15480161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2">
                    <a:lumMod val="25000"/>
                  </a:schemeClr>
                </a:solidFill>
                <a:latin typeface="+mn-lt"/>
                <a:ea typeface="+mn-ea"/>
                <a:cs typeface="+mn-cs"/>
              </a:defRPr>
            </a:pPr>
            <a:endParaRPr lang="en-US"/>
          </a:p>
        </c:txPr>
        <c:crossAx val="1548024336"/>
        <c:crosses val="autoZero"/>
        <c:auto val="1"/>
        <c:lblAlgn val="ctr"/>
        <c:lblOffset val="100"/>
        <c:noMultiLvlLbl val="0"/>
      </c:catAx>
      <c:valAx>
        <c:axId val="15480243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2">
                    <a:lumMod val="25000"/>
                  </a:schemeClr>
                </a:solidFill>
                <a:latin typeface="+mn-lt"/>
                <a:ea typeface="+mn-ea"/>
                <a:cs typeface="+mn-cs"/>
              </a:defRPr>
            </a:pPr>
            <a:endParaRPr lang="en-US"/>
          </a:p>
        </c:txPr>
        <c:crossAx val="154801617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[Santarin_StoryTellingEX1.xlsx]Revenue by Product Category!PivotTable1</c:name>
    <c:fmtId val="0"/>
  </c:pivotSource>
  <c:chart>
    <c:title>
      <c:tx>
        <c:rich>
          <a:bodyPr rot="0" spcFirstLastPara="1" vertOverflow="ellipsis" vert="horz" wrap="square" anchor="ctr" anchorCtr="1"/>
          <a:lstStyle/>
          <a:p>
            <a:pPr>
              <a:defRPr sz="1600" b="1" i="0" u="none" strike="noStrike" kern="1200" spc="100" baseline="0">
                <a:solidFill>
                  <a:schemeClr val="bg2">
                    <a:lumMod val="25000"/>
                  </a:schemeClr>
                </a:solidFill>
                <a:effectLst>
                  <a:outerShdw blurRad="50800" dist="38100" dir="5400000" algn="t" rotWithShape="0">
                    <a:prstClr val="black">
                      <a:alpha val="40000"/>
                    </a:prstClr>
                  </a:outerShdw>
                </a:effectLst>
                <a:latin typeface="+mn-lt"/>
                <a:ea typeface="+mn-ea"/>
                <a:cs typeface="+mn-cs"/>
              </a:defRPr>
            </a:pPr>
            <a:r>
              <a:rPr lang="en-US" sz="1800" b="1">
                <a:solidFill>
                  <a:schemeClr val="bg2">
                    <a:lumMod val="25000"/>
                  </a:schemeClr>
                </a:solidFill>
                <a:latin typeface="Aptos" panose="020B0004020202020204" pitchFamily="34" charset="0"/>
              </a:rPr>
              <a:t>Revenue by Product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2">
                  <a:lumMod val="2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408A26"/>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effectLst>
                    <a:glow rad="127000">
                      <a:schemeClr val="accent1">
                        <a:alpha val="60000"/>
                      </a:schemeClr>
                    </a:glo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by Product Category'!$B$1</c:f>
              <c:strCache>
                <c:ptCount val="1"/>
                <c:pt idx="0">
                  <c:v>Total</c:v>
                </c:pt>
              </c:strCache>
            </c:strRef>
          </c:tx>
          <c:spPr>
            <a:solidFill>
              <a:srgbClr val="408A26"/>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effectLst>
                      <a:glow rad="127000">
                        <a:schemeClr val="accent1">
                          <a:alpha val="60000"/>
                        </a:schemeClr>
                      </a:glow>
                    </a:effectLst>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'Revenue by Product Category'!$A$2:$A$10</c:f>
              <c:strCache>
                <c:ptCount val="8"/>
                <c:pt idx="0">
                  <c:v>Beverages</c:v>
                </c:pt>
                <c:pt idx="1">
                  <c:v>Dairy Products</c:v>
                </c:pt>
                <c:pt idx="2">
                  <c:v>Meat/Poultry</c:v>
                </c:pt>
                <c:pt idx="3">
                  <c:v>Confections</c:v>
                </c:pt>
                <c:pt idx="4">
                  <c:v>Seafood</c:v>
                </c:pt>
                <c:pt idx="5">
                  <c:v>Condiments</c:v>
                </c:pt>
                <c:pt idx="6">
                  <c:v>Produce</c:v>
                </c:pt>
                <c:pt idx="7">
                  <c:v>Grains/Cereals</c:v>
                </c:pt>
              </c:strCache>
            </c:strRef>
          </c:cat>
          <c:val>
            <c:numRef>
              <c:f>'Revenue by Product Category'!$B$2:$B$10</c:f>
              <c:numCache>
                <c:formatCode>"$"#,##0.00</c:formatCode>
                <c:ptCount val="8"/>
                <c:pt idx="0">
                  <c:v>1067931.6399999999</c:v>
                </c:pt>
                <c:pt idx="1">
                  <c:v>1103128.0900000001</c:v>
                </c:pt>
                <c:pt idx="2">
                  <c:v>1176269.79</c:v>
                </c:pt>
                <c:pt idx="3">
                  <c:v>1177359.49</c:v>
                </c:pt>
                <c:pt idx="4">
                  <c:v>1212835.5</c:v>
                </c:pt>
                <c:pt idx="5">
                  <c:v>1240763.8400000001</c:v>
                </c:pt>
                <c:pt idx="6">
                  <c:v>1249189.99</c:v>
                </c:pt>
                <c:pt idx="7">
                  <c:v>1253731.79</c:v>
                </c:pt>
              </c:numCache>
            </c:numRef>
          </c:val>
          <c:extLst>
            <c:ext xmlns:c16="http://schemas.microsoft.com/office/drawing/2014/chart" uri="{C3380CC4-5D6E-409C-BE32-E72D297353CC}">
              <c16:uniqueId val="{00000002-5E0F-418E-B3BD-5149EB777B35}"/>
            </c:ext>
          </c:extLst>
        </c:ser>
        <c:dLbls>
          <c:dLblPos val="outEnd"/>
          <c:showLegendKey val="0"/>
          <c:showVal val="1"/>
          <c:showCatName val="0"/>
          <c:showSerName val="0"/>
          <c:showPercent val="0"/>
          <c:showBubbleSize val="0"/>
        </c:dLbls>
        <c:gapWidth val="100"/>
        <c:axId val="1249835088"/>
        <c:axId val="1249851888"/>
      </c:barChart>
      <c:catAx>
        <c:axId val="124983508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bg2">
                    <a:lumMod val="25000"/>
                  </a:schemeClr>
                </a:solidFill>
                <a:latin typeface="+mn-lt"/>
                <a:ea typeface="+mn-ea"/>
                <a:cs typeface="+mn-cs"/>
              </a:defRPr>
            </a:pPr>
            <a:endParaRPr lang="en-US"/>
          </a:p>
        </c:txPr>
        <c:crossAx val="1249851888"/>
        <c:crosses val="autoZero"/>
        <c:auto val="1"/>
        <c:lblAlgn val="ctr"/>
        <c:lblOffset val="100"/>
        <c:noMultiLvlLbl val="0"/>
      </c:catAx>
      <c:valAx>
        <c:axId val="1249851888"/>
        <c:scaling>
          <c:orientation val="minMax"/>
        </c:scaling>
        <c:delete val="1"/>
        <c:axPos val="b"/>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crossAx val="1249835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[Santarin_StoryTellingEX1.xlsx]Monthly Revenue Trend!PivotTable2</c:name>
    <c:fmtId val="0"/>
  </c:pivotSource>
  <c:chart>
    <c:title>
      <c:tx>
        <c:rich>
          <a:bodyPr rot="0" spcFirstLastPara="1" vertOverflow="ellipsis" vert="horz" wrap="square" anchor="ctr" anchorCtr="1"/>
          <a:lstStyle/>
          <a:p>
            <a:pPr algn="ctr">
              <a:defRPr lang="en-US" sz="1800" b="0" i="0" u="none" strike="noStrike" kern="1200" spc="0" baseline="0">
                <a:solidFill>
                  <a:schemeClr val="bg2">
                    <a:lumMod val="25000"/>
                  </a:schemeClr>
                </a:solidFill>
                <a:latin typeface="Aptos" panose="020B0004020202020204" pitchFamily="34" charset="0"/>
                <a:ea typeface="+mn-ea"/>
                <a:cs typeface="+mn-cs"/>
              </a:defRPr>
            </a:pPr>
            <a:r>
              <a:rPr lang="en-US" sz="1800" b="1" i="0" u="none" strike="noStrike" kern="1200" baseline="0">
                <a:solidFill>
                  <a:schemeClr val="bg2">
                    <a:lumMod val="25000"/>
                  </a:schemeClr>
                </a:solidFill>
                <a:latin typeface="Aptos" panose="020B0004020202020204" pitchFamily="34" charset="0"/>
                <a:ea typeface="+mn-ea"/>
                <a:cs typeface="+mn-cs"/>
              </a:rPr>
              <a:t>Monthly Revenue Trend</a:t>
            </a:r>
          </a:p>
        </c:rich>
      </c:tx>
      <c:overlay val="0"/>
      <c:spPr>
        <a:noFill/>
        <a:ln>
          <a:noFill/>
        </a:ln>
        <a:effectLst/>
      </c:spPr>
      <c:txPr>
        <a:bodyPr rot="0" spcFirstLastPara="1" vertOverflow="ellipsis" vert="horz" wrap="square" anchor="ctr" anchorCtr="1"/>
        <a:lstStyle/>
        <a:p>
          <a:pPr algn="ctr">
            <a:defRPr lang="en-US" sz="1800" b="0" i="0" u="none" strike="noStrike" kern="1200" spc="0" baseline="0">
              <a:solidFill>
                <a:schemeClr val="bg2">
                  <a:lumMod val="25000"/>
                </a:schemeClr>
              </a:solidFill>
              <a:latin typeface="Aptos" panose="020B000402020202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tx2">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Revenue Trend'!$B$1:$B$2</c:f>
              <c:strCache>
                <c:ptCount val="1"/>
                <c:pt idx="0">
                  <c:v>1997</c:v>
                </c:pt>
              </c:strCache>
            </c:strRef>
          </c:tx>
          <c:spPr>
            <a:ln w="28575" cap="rnd">
              <a:solidFill>
                <a:schemeClr val="tx2">
                  <a:lumMod val="75000"/>
                  <a:lumOff val="25000"/>
                </a:schemeClr>
              </a:solidFill>
              <a:round/>
            </a:ln>
            <a:effectLst/>
          </c:spPr>
          <c:marker>
            <c:symbol val="none"/>
          </c:marker>
          <c:cat>
            <c:strRef>
              <c:f>'Monthly Revenue Trend'!$A$3:$A$14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Revenue Trend'!$B$3:$B$14</c:f>
              <c:numCache>
                <c:formatCode>"$"#,##0.00</c:formatCode>
                <c:ptCount val="12"/>
                <c:pt idx="0">
                  <c:v>66692.800000000003</c:v>
                </c:pt>
                <c:pt idx="1">
                  <c:v>41207.199999999997</c:v>
                </c:pt>
                <c:pt idx="2">
                  <c:v>39979.9</c:v>
                </c:pt>
                <c:pt idx="3">
                  <c:v>55699.39</c:v>
                </c:pt>
                <c:pt idx="4">
                  <c:v>56823.7</c:v>
                </c:pt>
                <c:pt idx="5">
                  <c:v>39088</c:v>
                </c:pt>
                <c:pt idx="6">
                  <c:v>55464.93</c:v>
                </c:pt>
                <c:pt idx="7">
                  <c:v>49981.69</c:v>
                </c:pt>
                <c:pt idx="8">
                  <c:v>59733.02</c:v>
                </c:pt>
                <c:pt idx="9">
                  <c:v>70328.5</c:v>
                </c:pt>
                <c:pt idx="10">
                  <c:v>45913.36</c:v>
                </c:pt>
                <c:pt idx="11">
                  <c:v>77476.259999999995</c:v>
                </c:pt>
              </c:numCache>
            </c:numRef>
          </c:val>
          <c:smooth val="0"/>
          <c:extLst>
            <c:ext xmlns:c16="http://schemas.microsoft.com/office/drawing/2014/chart" uri="{C3380CC4-5D6E-409C-BE32-E72D297353CC}">
              <c16:uniqueId val="{00000000-07FC-41E6-9847-B07CA10C514E}"/>
            </c:ext>
          </c:extLst>
        </c:ser>
        <c:ser>
          <c:idx val="1"/>
          <c:order val="1"/>
          <c:tx>
            <c:strRef>
              <c:f>'Monthly Revenue Trend'!$C$1:$C$2</c:f>
              <c:strCache>
                <c:ptCount val="1"/>
                <c:pt idx="0">
                  <c:v>1998</c:v>
                </c:pt>
              </c:strCache>
            </c:strRef>
          </c:tx>
          <c:spPr>
            <a:ln w="28575" cap="rnd">
              <a:solidFill>
                <a:schemeClr val="accent2"/>
              </a:solidFill>
              <a:round/>
            </a:ln>
            <a:effectLst/>
          </c:spPr>
          <c:marker>
            <c:symbol val="none"/>
          </c:marker>
          <c:cat>
            <c:strRef>
              <c:f>'Monthly Revenue Trend'!$A$3:$A$14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Revenue Trend'!$C$3:$C$14</c:f>
              <c:numCache>
                <c:formatCode>"$"#,##0.00</c:formatCode>
                <c:ptCount val="12"/>
                <c:pt idx="0">
                  <c:v>100854.72</c:v>
                </c:pt>
                <c:pt idx="1">
                  <c:v>104561.95</c:v>
                </c:pt>
                <c:pt idx="2">
                  <c:v>109825.45</c:v>
                </c:pt>
                <c:pt idx="3">
                  <c:v>134630.56</c:v>
                </c:pt>
                <c:pt idx="4">
                  <c:v>19898.66</c:v>
                </c:pt>
              </c:numCache>
            </c:numRef>
          </c:val>
          <c:smooth val="0"/>
          <c:extLst>
            <c:ext xmlns:c16="http://schemas.microsoft.com/office/drawing/2014/chart" uri="{C3380CC4-5D6E-409C-BE32-E72D297353CC}">
              <c16:uniqueId val="{00000002-07FC-41E6-9847-B07CA10C514E}"/>
            </c:ext>
          </c:extLst>
        </c:ser>
        <c:dLbls>
          <c:showLegendKey val="0"/>
          <c:showVal val="0"/>
          <c:showCatName val="0"/>
          <c:showSerName val="0"/>
          <c:showPercent val="0"/>
          <c:showBubbleSize val="0"/>
        </c:dLbls>
        <c:smooth val="0"/>
        <c:axId val="1802059888"/>
        <c:axId val="1802051728"/>
      </c:lineChart>
      <c:catAx>
        <c:axId val="1802059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2">
                    <a:lumMod val="25000"/>
                  </a:schemeClr>
                </a:solidFill>
                <a:latin typeface="+mn-lt"/>
                <a:ea typeface="+mn-ea"/>
                <a:cs typeface="+mn-cs"/>
              </a:defRPr>
            </a:pPr>
            <a:endParaRPr lang="en-US"/>
          </a:p>
        </c:txPr>
        <c:crossAx val="1802051728"/>
        <c:crosses val="autoZero"/>
        <c:auto val="1"/>
        <c:lblAlgn val="ctr"/>
        <c:lblOffset val="100"/>
        <c:noMultiLvlLbl val="0"/>
      </c:catAx>
      <c:valAx>
        <c:axId val="1802051728"/>
        <c:scaling>
          <c:orientation val="minMax"/>
        </c:scaling>
        <c:delete val="0"/>
        <c:axPos val="l"/>
        <c:majorGridlines>
          <c:spPr>
            <a:ln w="9525" cap="flat" cmpd="sng" algn="ctr">
              <a:solidFill>
                <a:schemeClr val="bg2">
                  <a:lumMod val="2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2">
                    <a:lumMod val="25000"/>
                  </a:schemeClr>
                </a:solidFill>
                <a:latin typeface="+mn-lt"/>
                <a:ea typeface="+mn-ea"/>
                <a:cs typeface="+mn-cs"/>
              </a:defRPr>
            </a:pPr>
            <a:endParaRPr lang="en-US"/>
          </a:p>
        </c:txPr>
        <c:crossAx val="1802059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bg2">
                  <a:lumMod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[Santarin_StoryTellingEX1.xlsx]Top Sales Employees!PivotTable3</c:name>
    <c:fmtId val="0"/>
  </c:pivotSource>
  <c:chart>
    <c:title>
      <c:tx>
        <c:rich>
          <a:bodyPr rot="0" spcFirstLastPara="1" vertOverflow="ellipsis" vert="horz" wrap="square" anchor="ctr" anchorCtr="1"/>
          <a:lstStyle/>
          <a:p>
            <a:pPr>
              <a:defRPr sz="1600" b="1" i="0" u="none" strike="noStrike" kern="1200" spc="100" baseline="0">
                <a:solidFill>
                  <a:schemeClr val="bg2">
                    <a:lumMod val="25000"/>
                  </a:schemeClr>
                </a:solidFill>
                <a:effectLst>
                  <a:outerShdw blurRad="50800" dist="38100" dir="5400000" algn="t" rotWithShape="0">
                    <a:prstClr val="black">
                      <a:alpha val="40000"/>
                    </a:prstClr>
                  </a:outerShdw>
                </a:effectLst>
                <a:latin typeface="+mn-lt"/>
                <a:ea typeface="+mn-ea"/>
                <a:cs typeface="+mn-cs"/>
              </a:defRPr>
            </a:pPr>
            <a:r>
              <a:rPr lang="en-US" sz="1800">
                <a:solidFill>
                  <a:schemeClr val="bg2">
                    <a:lumMod val="25000"/>
                  </a:schemeClr>
                </a:solidFill>
                <a:latin typeface="Aptos" panose="020B0004020202020204" pitchFamily="34" charset="0"/>
              </a:rPr>
              <a:t>Top Sales Employees</a:t>
            </a:r>
          </a:p>
        </c:rich>
      </c:tx>
      <c:layout>
        <c:manualLayout>
          <c:xMode val="edge"/>
          <c:yMode val="edge"/>
          <c:x val="0.29653964897692126"/>
          <c:y val="1.242369351718359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2">
                  <a:lumMod val="2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tx2">
              <a:lumMod val="75000"/>
              <a:lumOff val="2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616868532979797E-2"/>
          <c:y val="0.10163222554927115"/>
          <c:w val="0.78761632232285628"/>
          <c:h val="0.79597180634110876"/>
        </c:manualLayout>
      </c:layout>
      <c:barChart>
        <c:barDir val="col"/>
        <c:grouping val="clustered"/>
        <c:varyColors val="0"/>
        <c:ser>
          <c:idx val="0"/>
          <c:order val="0"/>
          <c:tx>
            <c:strRef>
              <c:f>'Top Sales Employees'!$B$1</c:f>
              <c:strCache>
                <c:ptCount val="1"/>
                <c:pt idx="0">
                  <c:v>Total Revenue</c:v>
                </c:pt>
              </c:strCache>
            </c:strRef>
          </c:tx>
          <c:spPr>
            <a:solidFill>
              <a:schemeClr val="tx2">
                <a:lumMod val="75000"/>
                <a:lumOff val="2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 Sales Employees'!$A$2:$A$10</c:f>
              <c:strCache>
                <c:ptCount val="9"/>
                <c:pt idx="0">
                  <c:v>Margaret Peacock</c:v>
                </c:pt>
                <c:pt idx="1">
                  <c:v>Janet Leverling</c:v>
                </c:pt>
                <c:pt idx="2">
                  <c:v>Nancy Davolio</c:v>
                </c:pt>
                <c:pt idx="3">
                  <c:v>Andrew Fuller</c:v>
                </c:pt>
                <c:pt idx="4">
                  <c:v>Robert King</c:v>
                </c:pt>
                <c:pt idx="5">
                  <c:v>Laura Callahan</c:v>
                </c:pt>
                <c:pt idx="6">
                  <c:v>Anne Dodsworth</c:v>
                </c:pt>
                <c:pt idx="7">
                  <c:v>Michael Suyama</c:v>
                </c:pt>
                <c:pt idx="8">
                  <c:v>Steven Buchanan</c:v>
                </c:pt>
              </c:strCache>
            </c:strRef>
          </c:cat>
          <c:val>
            <c:numRef>
              <c:f>'Top Sales Employees'!$B$2:$B$10</c:f>
              <c:numCache>
                <c:formatCode>"$"#,##0.00</c:formatCode>
                <c:ptCount val="9"/>
                <c:pt idx="0">
                  <c:v>250187.45</c:v>
                </c:pt>
                <c:pt idx="1">
                  <c:v>213051.3</c:v>
                </c:pt>
                <c:pt idx="2">
                  <c:v>202143.71</c:v>
                </c:pt>
                <c:pt idx="3">
                  <c:v>177749.26</c:v>
                </c:pt>
                <c:pt idx="4">
                  <c:v>141295.99</c:v>
                </c:pt>
                <c:pt idx="5">
                  <c:v>133301.03</c:v>
                </c:pt>
                <c:pt idx="6">
                  <c:v>82964</c:v>
                </c:pt>
                <c:pt idx="7">
                  <c:v>78198.100000000006</c:v>
                </c:pt>
                <c:pt idx="8">
                  <c:v>75567.75</c:v>
                </c:pt>
              </c:numCache>
            </c:numRef>
          </c:val>
          <c:extLst>
            <c:ext xmlns:c16="http://schemas.microsoft.com/office/drawing/2014/chart" uri="{C3380CC4-5D6E-409C-BE32-E72D297353CC}">
              <c16:uniqueId val="{00000000-1CC3-4C79-92EF-892CFD834652}"/>
            </c:ext>
          </c:extLst>
        </c:ser>
        <c:ser>
          <c:idx val="1"/>
          <c:order val="1"/>
          <c:tx>
            <c:strRef>
              <c:f>'Top Sales Employees'!$C$1</c:f>
              <c:strCache>
                <c:ptCount val="1"/>
                <c:pt idx="0">
                  <c:v>Orders Handled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chemeClr val="accent2"/>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 Sales Employees'!$A$2:$A$10</c:f>
              <c:strCache>
                <c:ptCount val="9"/>
                <c:pt idx="0">
                  <c:v>Margaret Peacock</c:v>
                </c:pt>
                <c:pt idx="1">
                  <c:v>Janet Leverling</c:v>
                </c:pt>
                <c:pt idx="2">
                  <c:v>Nancy Davolio</c:v>
                </c:pt>
                <c:pt idx="3">
                  <c:v>Andrew Fuller</c:v>
                </c:pt>
                <c:pt idx="4">
                  <c:v>Robert King</c:v>
                </c:pt>
                <c:pt idx="5">
                  <c:v>Laura Callahan</c:v>
                </c:pt>
                <c:pt idx="6">
                  <c:v>Anne Dodsworth</c:v>
                </c:pt>
                <c:pt idx="7">
                  <c:v>Michael Suyama</c:v>
                </c:pt>
                <c:pt idx="8">
                  <c:v>Steven Buchanan</c:v>
                </c:pt>
              </c:strCache>
            </c:strRef>
          </c:cat>
          <c:val>
            <c:numRef>
              <c:f>'Top Sales Employees'!$C$2:$C$10</c:f>
              <c:numCache>
                <c:formatCode>General</c:formatCode>
                <c:ptCount val="9"/>
                <c:pt idx="0">
                  <c:v>156</c:v>
                </c:pt>
                <c:pt idx="1">
                  <c:v>127</c:v>
                </c:pt>
                <c:pt idx="2">
                  <c:v>123</c:v>
                </c:pt>
                <c:pt idx="3">
                  <c:v>96</c:v>
                </c:pt>
                <c:pt idx="4">
                  <c:v>72</c:v>
                </c:pt>
                <c:pt idx="5">
                  <c:v>104</c:v>
                </c:pt>
                <c:pt idx="6">
                  <c:v>43</c:v>
                </c:pt>
                <c:pt idx="7">
                  <c:v>67</c:v>
                </c:pt>
                <c:pt idx="8">
                  <c:v>42</c:v>
                </c:pt>
              </c:numCache>
            </c:numRef>
          </c:val>
          <c:extLst>
            <c:ext xmlns:c16="http://schemas.microsoft.com/office/drawing/2014/chart" uri="{C3380CC4-5D6E-409C-BE32-E72D297353CC}">
              <c16:uniqueId val="{00000002-1CC3-4C79-92EF-892CFD834652}"/>
            </c:ext>
          </c:extLst>
        </c:ser>
        <c:dLbls>
          <c:dLblPos val="outEnd"/>
          <c:showLegendKey val="0"/>
          <c:showVal val="1"/>
          <c:showCatName val="0"/>
          <c:showSerName val="0"/>
          <c:showPercent val="0"/>
          <c:showBubbleSize val="0"/>
        </c:dLbls>
        <c:gapWidth val="100"/>
        <c:overlap val="-24"/>
        <c:axId val="1547984496"/>
        <c:axId val="1547994096"/>
      </c:barChart>
      <c:catAx>
        <c:axId val="1547984496"/>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2">
                    <a:lumMod val="25000"/>
                  </a:schemeClr>
                </a:solidFill>
                <a:latin typeface="+mn-lt"/>
                <a:ea typeface="+mn-ea"/>
                <a:cs typeface="+mn-cs"/>
              </a:defRPr>
            </a:pPr>
            <a:endParaRPr lang="en-US"/>
          </a:p>
        </c:txPr>
        <c:crossAx val="1547994096"/>
        <c:crosses val="autoZero"/>
        <c:auto val="1"/>
        <c:lblAlgn val="ctr"/>
        <c:lblOffset val="100"/>
        <c:noMultiLvlLbl val="0"/>
      </c:catAx>
      <c:valAx>
        <c:axId val="1547994096"/>
        <c:scaling>
          <c:orientation val="minMax"/>
        </c:scaling>
        <c:delete val="1"/>
        <c:axPos val="l"/>
        <c:majorGridlines>
          <c:spPr>
            <a:ln w="9525" cap="flat" cmpd="sng" algn="ctr">
              <a:solidFill>
                <a:schemeClr val="bg2">
                  <a:lumMod val="25000"/>
                  <a:alpha val="55000"/>
                </a:schemeClr>
              </a:solidFill>
              <a:round/>
            </a:ln>
            <a:effectLst/>
          </c:spPr>
        </c:majorGridlines>
        <c:numFmt formatCode="&quot;$&quot;#,##0.00" sourceLinked="1"/>
        <c:majorTickMark val="out"/>
        <c:minorTickMark val="none"/>
        <c:tickLblPos val="nextTo"/>
        <c:crossAx val="1547984496"/>
        <c:crosses val="autoZero"/>
        <c:crossBetween val="between"/>
      </c:valAx>
      <c:spPr>
        <a:noFill/>
        <a:ln>
          <a:noFill/>
        </a:ln>
        <a:effectLst/>
      </c:spPr>
    </c:plotArea>
    <c:legend>
      <c:legendPos val="r"/>
      <c:layout>
        <c:manualLayout>
          <c:xMode val="edge"/>
          <c:yMode val="edge"/>
          <c:x val="0.8007858533870964"/>
          <c:y val="0.23957142681108523"/>
          <c:w val="0.18236309449667898"/>
          <c:h val="0.12491342978498937"/>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bg2">
                  <a:lumMod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[Santarin_StoryTellingEX1.xlsx]Revenue by Ship Country!PivotTable4</c:name>
    <c:fmtId val="0"/>
  </c:pivotSource>
  <c:chart>
    <c:title>
      <c:tx>
        <c:rich>
          <a:bodyPr rot="0" spcFirstLastPara="1" vertOverflow="ellipsis" vert="horz" wrap="square" anchor="ctr" anchorCtr="1"/>
          <a:lstStyle/>
          <a:p>
            <a:pPr>
              <a:defRPr sz="1800" b="1" i="0" u="none" strike="noStrike" kern="1200" baseline="0">
                <a:solidFill>
                  <a:schemeClr val="bg2">
                    <a:lumMod val="25000"/>
                  </a:schemeClr>
                </a:solidFill>
                <a:latin typeface="+mn-lt"/>
                <a:ea typeface="+mn-ea"/>
                <a:cs typeface="+mn-cs"/>
              </a:defRPr>
            </a:pPr>
            <a:r>
              <a:rPr lang="en-US">
                <a:solidFill>
                  <a:schemeClr val="bg2">
                    <a:lumMod val="25000"/>
                  </a:schemeClr>
                </a:solidFill>
              </a:rPr>
              <a:t>Revenue by Ship Country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bg2">
                  <a:lumMod val="25000"/>
                </a:schemeClr>
              </a:solidFill>
              <a:latin typeface="+mn-lt"/>
              <a:ea typeface="+mn-ea"/>
              <a:cs typeface="+mn-cs"/>
            </a:defRPr>
          </a:pPr>
          <a:endParaRPr lang="en-US"/>
        </a:p>
      </c:txPr>
    </c:title>
    <c:autoTitleDeleted val="0"/>
    <c:pivotFmts>
      <c:pivotFmt>
        <c:idx val="0"/>
        <c:spPr>
          <a:solidFill>
            <a:schemeClr val="accent1"/>
          </a:solidFill>
          <a:ln>
            <a:solidFill>
              <a:schemeClr val="bg2"/>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a:solidFill>
              <a:schemeClr val="bg2"/>
            </a:solidFill>
          </a:ln>
          <a:effectLst>
            <a:outerShdw blurRad="254000" sx="102000" sy="102000" algn="ctr" rotWithShape="0">
              <a:prstClr val="black">
                <a:alpha val="20000"/>
              </a:prstClr>
            </a:outerShdw>
          </a:effectLst>
        </c:spPr>
        <c:dLbl>
          <c:idx val="0"/>
          <c:spPr>
            <a:noFill/>
            <a:ln>
              <a:noFill/>
            </a:ln>
            <a:effectLst>
              <a:glow>
                <a:schemeClr val="accent1"/>
              </a:glow>
              <a:outerShdw blurRad="50800" dir="2700000" algn="tl" rotWithShape="0">
                <a:prstClr val="black">
                  <a:alpha val="0"/>
                </a:prstClr>
              </a:outerShdw>
            </a:effectLst>
          </c:spPr>
          <c:txPr>
            <a:bodyPr rot="0" spcFirstLastPara="1" vertOverflow="ellipsis" vert="horz" wrap="square" lIns="38100" tIns="19050" rIns="38100" bIns="19050" anchor="ctr" anchorCtr="0">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1807956868926672"/>
                  <c:h val="0.10698689956331878"/>
                </c:manualLayout>
              </c15:layout>
            </c:ext>
          </c:extLst>
        </c:dLbl>
      </c:pivotFmt>
      <c:pivotFmt>
        <c:idx val="2"/>
        <c:spPr>
          <a:solidFill>
            <a:schemeClr val="accent1"/>
          </a:solidFill>
          <a:ln>
            <a:solidFill>
              <a:schemeClr val="bg2"/>
            </a:solidFill>
          </a:ln>
          <a:effectLst>
            <a:outerShdw blurRad="254000" sx="102000" sy="102000" algn="ctr" rotWithShape="0">
              <a:prstClr val="black">
                <a:alpha val="20000"/>
              </a:prstClr>
            </a:outerShdw>
          </a:effectLst>
        </c:spPr>
        <c:dLbl>
          <c:idx val="0"/>
          <c:spPr>
            <a:noFill/>
            <a:ln>
              <a:noFill/>
            </a:ln>
            <a:effectLst>
              <a:glow>
                <a:schemeClr val="accent1"/>
              </a:glow>
              <a:outerShdw blurRad="50800" dir="2700000" algn="tl" rotWithShape="0">
                <a:prstClr val="black">
                  <a:alpha val="0"/>
                </a:prstClr>
              </a:outerShdw>
            </a:effectLst>
          </c:spPr>
          <c:txPr>
            <a:bodyPr rot="0" spcFirstLastPara="1" vertOverflow="ellipsis" vert="horz" wrap="square" lIns="38100" tIns="19050" rIns="38100" bIns="19050" anchor="ctr" anchorCtr="0">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1317108862568777"/>
                  <c:h val="8.7292453267250186E-2"/>
                </c:manualLayout>
              </c15:layout>
            </c:ext>
          </c:extLst>
        </c:dLbl>
      </c:pivotFmt>
      <c:pivotFmt>
        <c:idx val="3"/>
        <c:spPr>
          <a:solidFill>
            <a:schemeClr val="accent1"/>
          </a:solidFill>
          <a:ln>
            <a:solidFill>
              <a:schemeClr val="bg2"/>
            </a:solidFill>
          </a:ln>
          <a:effectLst>
            <a:outerShdw blurRad="254000" sx="102000" sy="102000" algn="ctr" rotWithShape="0">
              <a:prstClr val="black">
                <a:alpha val="20000"/>
              </a:prstClr>
            </a:outerShdw>
          </a:effectLst>
        </c:spPr>
        <c:dLbl>
          <c:idx val="0"/>
          <c:spPr>
            <a:noFill/>
            <a:ln>
              <a:noFill/>
            </a:ln>
            <a:effectLst>
              <a:glow>
                <a:schemeClr val="accent1"/>
              </a:glow>
              <a:outerShdw blurRad="50800" dir="2700000" algn="tl" rotWithShape="0">
                <a:prstClr val="black">
                  <a:alpha val="0"/>
                </a:prstClr>
              </a:outerShdw>
            </a:effectLst>
          </c:spPr>
          <c:txPr>
            <a:bodyPr rot="0" spcFirstLastPara="1" vertOverflow="ellipsis" vert="horz" wrap="square" lIns="38100" tIns="19050" rIns="38100" bIns="19050" anchor="ctr" anchorCtr="0">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0674592728348883"/>
                  <c:h val="0.10296998772568902"/>
                </c:manualLayout>
              </c15:layout>
            </c:ext>
          </c:extLst>
        </c:dLbl>
      </c:pivotFmt>
      <c:pivotFmt>
        <c:idx val="4"/>
        <c:spPr>
          <a:solidFill>
            <a:schemeClr val="accent1"/>
          </a:solidFill>
          <a:ln>
            <a:solidFill>
              <a:schemeClr val="bg2"/>
            </a:solidFill>
          </a:ln>
          <a:effectLst>
            <a:outerShdw blurRad="254000" sx="102000" sy="102000" algn="ctr" rotWithShape="0">
              <a:prstClr val="black">
                <a:alpha val="20000"/>
              </a:prstClr>
            </a:outerShdw>
          </a:effectLst>
        </c:spPr>
        <c:dLbl>
          <c:idx val="0"/>
          <c:spPr>
            <a:noFill/>
            <a:ln>
              <a:noFill/>
            </a:ln>
            <a:effectLst>
              <a:glow>
                <a:schemeClr val="accent1"/>
              </a:glow>
              <a:outerShdw blurRad="50800" dir="2700000" algn="tl" rotWithShape="0">
                <a:prstClr val="black">
                  <a:alpha val="0"/>
                </a:prstClr>
              </a:outerShdw>
            </a:effectLst>
          </c:spPr>
          <c:txPr>
            <a:bodyPr rot="0" spcFirstLastPara="1" vertOverflow="ellipsis" vert="horz" wrap="square" lIns="38100" tIns="19050" rIns="38100" bIns="19050" anchor="ctr" anchorCtr="0">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1120475403551514"/>
                  <c:h val="0.10168652292373612"/>
                </c:manualLayout>
              </c15:layout>
            </c:ext>
          </c:extLst>
        </c:dLbl>
      </c:pivotFmt>
      <c:pivotFmt>
        <c:idx val="5"/>
        <c:spPr>
          <a:solidFill>
            <a:schemeClr val="accent1"/>
          </a:solidFill>
          <a:ln>
            <a:solidFill>
              <a:schemeClr val="bg2"/>
            </a:solidFill>
          </a:ln>
          <a:effectLst>
            <a:outerShdw blurRad="254000" sx="102000" sy="102000" algn="ctr" rotWithShape="0">
              <a:prstClr val="black">
                <a:alpha val="20000"/>
              </a:prstClr>
            </a:outerShdw>
          </a:effectLst>
        </c:spPr>
        <c:dLbl>
          <c:idx val="0"/>
          <c:spPr>
            <a:noFill/>
            <a:ln>
              <a:noFill/>
            </a:ln>
            <a:effectLst>
              <a:glow>
                <a:schemeClr val="accent1"/>
              </a:glow>
              <a:outerShdw blurRad="50800" dir="2700000" algn="tl" rotWithShape="0">
                <a:prstClr val="black">
                  <a:alpha val="0"/>
                </a:prstClr>
              </a:outerShdw>
            </a:effectLst>
          </c:spPr>
          <c:txPr>
            <a:bodyPr rot="0" spcFirstLastPara="1" vertOverflow="ellipsis" vert="horz" wrap="square" lIns="38100" tIns="19050" rIns="38100" bIns="19050" anchor="ctr" anchorCtr="0">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1240804337113193"/>
                  <c:h val="0.10255504533144941"/>
                </c:manualLayout>
              </c15:layout>
            </c:ext>
          </c:extLst>
        </c:dLbl>
      </c:pivotFmt>
      <c:pivotFmt>
        <c:idx val="6"/>
        <c:spPr>
          <a:solidFill>
            <a:schemeClr val="accent1"/>
          </a:solidFill>
          <a:ln>
            <a:solidFill>
              <a:schemeClr val="bg2"/>
            </a:solidFill>
          </a:ln>
          <a:effectLst>
            <a:outerShdw blurRad="254000" sx="102000" sy="102000" algn="ctr" rotWithShape="0">
              <a:prstClr val="black">
                <a:alpha val="20000"/>
              </a:prstClr>
            </a:outerShdw>
          </a:effectLst>
        </c:spPr>
        <c:dLbl>
          <c:idx val="0"/>
          <c:spPr>
            <a:noFill/>
            <a:ln>
              <a:noFill/>
            </a:ln>
            <a:effectLst>
              <a:glow>
                <a:schemeClr val="accent1"/>
              </a:glow>
              <a:outerShdw blurRad="50800" dir="2700000" algn="tl" rotWithShape="0">
                <a:prstClr val="black">
                  <a:alpha val="0"/>
                </a:prstClr>
              </a:outerShdw>
            </a:effectLst>
          </c:spPr>
          <c:txPr>
            <a:bodyPr rot="0" spcFirstLastPara="1" vertOverflow="ellipsis" vert="horz" wrap="square" lIns="38100" tIns="19050" rIns="38100" bIns="19050" anchor="ctr" anchorCtr="0">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275951383272296"/>
                  <c:h val="9.4224801696835864E-2"/>
                </c:manualLayout>
              </c15:layout>
            </c:ext>
          </c:extLst>
        </c:dLbl>
      </c:pivotFmt>
      <c:pivotFmt>
        <c:idx val="7"/>
        <c:spPr>
          <a:solidFill>
            <a:schemeClr val="accent1"/>
          </a:solidFill>
          <a:ln>
            <a:solidFill>
              <a:schemeClr val="bg2"/>
            </a:solidFill>
          </a:ln>
          <a:effectLst>
            <a:outerShdw blurRad="254000" sx="102000" sy="102000" algn="ctr" rotWithShape="0">
              <a:prstClr val="black">
                <a:alpha val="20000"/>
              </a:prstClr>
            </a:outerShdw>
          </a:effectLst>
        </c:spPr>
        <c:dLbl>
          <c:idx val="0"/>
          <c:spPr>
            <a:noFill/>
            <a:ln>
              <a:noFill/>
            </a:ln>
            <a:effectLst>
              <a:glow>
                <a:schemeClr val="accent1"/>
              </a:glow>
              <a:outerShdw blurRad="50800" dir="2700000" algn="tl" rotWithShape="0">
                <a:prstClr val="black">
                  <a:alpha val="0"/>
                </a:prstClr>
              </a:outerShdw>
            </a:effectLst>
          </c:spPr>
          <c:txPr>
            <a:bodyPr rot="0" spcFirstLastPara="1" vertOverflow="ellipsis" vert="horz" wrap="square" lIns="38100" tIns="19050" rIns="38100" bIns="19050" anchor="ctr" anchorCtr="0">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1882351322459835"/>
                  <c:h val="0.10788209606986898"/>
                </c:manualLayout>
              </c15:layout>
            </c:ext>
          </c:extLst>
        </c:dLbl>
      </c:pivotFmt>
      <c:pivotFmt>
        <c:idx val="8"/>
        <c:spPr>
          <a:solidFill>
            <a:schemeClr val="accent1"/>
          </a:solidFill>
          <a:ln>
            <a:solidFill>
              <a:schemeClr val="bg2"/>
            </a:solidFill>
          </a:ln>
          <a:effectLst>
            <a:outerShdw blurRad="254000" sx="102000" sy="102000" algn="ctr" rotWithShape="0">
              <a:prstClr val="black">
                <a:alpha val="20000"/>
              </a:prstClr>
            </a:outerShdw>
          </a:effectLst>
        </c:spPr>
        <c:dLbl>
          <c:idx val="0"/>
          <c:spPr>
            <a:noFill/>
            <a:ln>
              <a:noFill/>
            </a:ln>
            <a:effectLst>
              <a:glow>
                <a:schemeClr val="accent1"/>
              </a:glow>
              <a:outerShdw blurRad="50800" dir="2700000" algn="tl" rotWithShape="0">
                <a:prstClr val="black">
                  <a:alpha val="0"/>
                </a:prstClr>
              </a:outerShdw>
            </a:effectLst>
          </c:spPr>
          <c:txPr>
            <a:bodyPr rot="0" spcFirstLastPara="1" vertOverflow="ellipsis" vert="horz" wrap="square" lIns="38100" tIns="19050" rIns="38100" bIns="19050" anchor="ctr" anchorCtr="0">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3053292130990546"/>
                  <c:h val="0.11180133327861065"/>
                </c:manualLayout>
              </c15:layout>
            </c:ext>
          </c:extLst>
        </c:dLbl>
      </c:pivotFmt>
      <c:pivotFmt>
        <c:idx val="9"/>
        <c:spPr>
          <a:solidFill>
            <a:schemeClr val="accent1"/>
          </a:solidFill>
          <a:ln>
            <a:solidFill>
              <a:schemeClr val="bg2"/>
            </a:solidFill>
          </a:ln>
          <a:effectLst>
            <a:outerShdw blurRad="254000" sx="102000" sy="102000" algn="ctr" rotWithShape="0">
              <a:prstClr val="black">
                <a:alpha val="20000"/>
              </a:prstClr>
            </a:outerShdw>
          </a:effectLst>
        </c:spPr>
        <c:dLbl>
          <c:idx val="0"/>
          <c:spPr>
            <a:noFill/>
            <a:ln>
              <a:noFill/>
            </a:ln>
            <a:effectLst>
              <a:glow>
                <a:schemeClr val="accent1"/>
              </a:glow>
              <a:outerShdw blurRad="50800" dir="2700000" algn="tl" rotWithShape="0">
                <a:prstClr val="black">
                  <a:alpha val="0"/>
                </a:prstClr>
              </a:outerShdw>
            </a:effectLst>
          </c:spPr>
          <c:txPr>
            <a:bodyPr rot="0" spcFirstLastPara="1" vertOverflow="ellipsis" vert="horz" wrap="square" lIns="38100" tIns="19050" rIns="38100" bIns="19050" anchor="ctr" anchorCtr="0">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0618373609244089"/>
                  <c:h val="0.10099232759427348"/>
                </c:manualLayout>
              </c15:layout>
            </c:ext>
          </c:extLst>
        </c:dLbl>
      </c:pivotFmt>
      <c:pivotFmt>
        <c:idx val="10"/>
        <c:spPr>
          <a:solidFill>
            <a:schemeClr val="accent1"/>
          </a:solidFill>
          <a:ln>
            <a:solidFill>
              <a:schemeClr val="bg2"/>
            </a:solidFill>
          </a:ln>
          <a:effectLst>
            <a:outerShdw blurRad="254000" sx="102000" sy="102000" algn="ctr" rotWithShape="0">
              <a:prstClr val="black">
                <a:alpha val="20000"/>
              </a:prstClr>
            </a:outerShdw>
          </a:effectLst>
        </c:spPr>
        <c:dLbl>
          <c:idx val="0"/>
          <c:spPr>
            <a:noFill/>
            <a:ln>
              <a:noFill/>
            </a:ln>
            <a:effectLst>
              <a:glow>
                <a:schemeClr val="accent1"/>
              </a:glow>
              <a:outerShdw blurRad="50800" dir="2700000" algn="tl" rotWithShape="0">
                <a:prstClr val="black">
                  <a:alpha val="0"/>
                </a:prstClr>
              </a:outerShdw>
            </a:effectLst>
          </c:spPr>
          <c:txPr>
            <a:bodyPr rot="0" spcFirstLastPara="1" vertOverflow="ellipsis" vert="horz" wrap="square" lIns="38100" tIns="19050" rIns="38100" bIns="19050" anchor="ctr" anchorCtr="0">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1504700552281946"/>
                  <c:h val="9.325271804664309E-2"/>
                </c:manualLayout>
              </c15:layout>
            </c:ext>
          </c:extLst>
        </c:dLbl>
      </c:pivotFmt>
    </c:pivotFmts>
    <c:plotArea>
      <c:layout>
        <c:manualLayout>
          <c:layoutTarget val="inner"/>
          <c:xMode val="edge"/>
          <c:yMode val="edge"/>
          <c:x val="1.8862932449308537E-2"/>
          <c:y val="9.4072897651144044E-2"/>
          <c:w val="0.80845095140432688"/>
          <c:h val="0.88741638663548561"/>
        </c:manualLayout>
      </c:layout>
      <c:pieChart>
        <c:varyColors val="1"/>
        <c:ser>
          <c:idx val="0"/>
          <c:order val="0"/>
          <c:tx>
            <c:strRef>
              <c:f>'Revenue by Ship Country'!$B$1</c:f>
              <c:strCache>
                <c:ptCount val="1"/>
                <c:pt idx="0">
                  <c:v>Total</c:v>
                </c:pt>
              </c:strCache>
            </c:strRef>
          </c:tx>
          <c:spPr>
            <a:ln>
              <a:solidFill>
                <a:schemeClr val="bg2"/>
              </a:solidFill>
            </a:ln>
          </c:spPr>
          <c:dPt>
            <c:idx val="0"/>
            <c:bubble3D val="0"/>
            <c:spPr>
              <a:solidFill>
                <a:schemeClr val="accent1"/>
              </a:solidFill>
              <a:ln>
                <a:solidFill>
                  <a:schemeClr val="bg2"/>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C611-4D3C-92C6-5DBA3ED1E9FF}"/>
              </c:ext>
            </c:extLst>
          </c:dPt>
          <c:dPt>
            <c:idx val="1"/>
            <c:bubble3D val="0"/>
            <c:spPr>
              <a:solidFill>
                <a:schemeClr val="accent2"/>
              </a:solidFill>
              <a:ln>
                <a:solidFill>
                  <a:schemeClr val="bg2"/>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C611-4D3C-92C6-5DBA3ED1E9FF}"/>
              </c:ext>
            </c:extLst>
          </c:dPt>
          <c:dPt>
            <c:idx val="2"/>
            <c:bubble3D val="0"/>
            <c:spPr>
              <a:solidFill>
                <a:schemeClr val="accent3"/>
              </a:solidFill>
              <a:ln>
                <a:solidFill>
                  <a:schemeClr val="bg2"/>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C611-4D3C-92C6-5DBA3ED1E9FF}"/>
              </c:ext>
            </c:extLst>
          </c:dPt>
          <c:dPt>
            <c:idx val="3"/>
            <c:bubble3D val="0"/>
            <c:spPr>
              <a:solidFill>
                <a:schemeClr val="accent4"/>
              </a:solidFill>
              <a:ln>
                <a:solidFill>
                  <a:schemeClr val="bg2"/>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C611-4D3C-92C6-5DBA3ED1E9FF}"/>
              </c:ext>
            </c:extLst>
          </c:dPt>
          <c:dPt>
            <c:idx val="4"/>
            <c:bubble3D val="0"/>
            <c:spPr>
              <a:solidFill>
                <a:schemeClr val="accent5"/>
              </a:solidFill>
              <a:ln>
                <a:solidFill>
                  <a:schemeClr val="bg2"/>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C611-4D3C-92C6-5DBA3ED1E9FF}"/>
              </c:ext>
            </c:extLst>
          </c:dPt>
          <c:dPt>
            <c:idx val="5"/>
            <c:bubble3D val="0"/>
            <c:spPr>
              <a:solidFill>
                <a:schemeClr val="accent6"/>
              </a:solidFill>
              <a:ln>
                <a:solidFill>
                  <a:schemeClr val="bg2"/>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611-4D3C-92C6-5DBA3ED1E9FF}"/>
              </c:ext>
            </c:extLst>
          </c:dPt>
          <c:dPt>
            <c:idx val="6"/>
            <c:bubble3D val="0"/>
            <c:spPr>
              <a:solidFill>
                <a:schemeClr val="accent1">
                  <a:lumMod val="60000"/>
                </a:schemeClr>
              </a:solidFill>
              <a:ln>
                <a:solidFill>
                  <a:schemeClr val="bg2"/>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C611-4D3C-92C6-5DBA3ED1E9FF}"/>
              </c:ext>
            </c:extLst>
          </c:dPt>
          <c:dPt>
            <c:idx val="7"/>
            <c:bubble3D val="0"/>
            <c:spPr>
              <a:solidFill>
                <a:schemeClr val="accent2">
                  <a:lumMod val="60000"/>
                </a:schemeClr>
              </a:solidFill>
              <a:ln>
                <a:solidFill>
                  <a:schemeClr val="bg2"/>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C611-4D3C-92C6-5DBA3ED1E9FF}"/>
              </c:ext>
            </c:extLst>
          </c:dPt>
          <c:dPt>
            <c:idx val="8"/>
            <c:bubble3D val="0"/>
            <c:spPr>
              <a:solidFill>
                <a:schemeClr val="accent3">
                  <a:lumMod val="60000"/>
                </a:schemeClr>
              </a:solidFill>
              <a:ln>
                <a:solidFill>
                  <a:schemeClr val="bg2"/>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A-C611-4D3C-92C6-5DBA3ED1E9FF}"/>
              </c:ext>
            </c:extLst>
          </c:dPt>
          <c:dPt>
            <c:idx val="9"/>
            <c:bubble3D val="0"/>
            <c:spPr>
              <a:solidFill>
                <a:schemeClr val="accent4">
                  <a:lumMod val="60000"/>
                </a:schemeClr>
              </a:solidFill>
              <a:ln>
                <a:solidFill>
                  <a:schemeClr val="bg2"/>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611-4D3C-92C6-5DBA3ED1E9FF}"/>
              </c:ext>
            </c:extLst>
          </c:dPt>
          <c:dLbls>
            <c:dLbl>
              <c:idx val="0"/>
              <c:spPr>
                <a:noFill/>
                <a:ln>
                  <a:noFill/>
                </a:ln>
                <a:effectLst>
                  <a:glow>
                    <a:schemeClr val="accent1"/>
                  </a:glow>
                  <a:outerShdw blurRad="50800" dir="2700000" algn="tl" rotWithShape="0">
                    <a:prstClr val="black">
                      <a:alpha val="0"/>
                    </a:prstClr>
                  </a:outerShdw>
                </a:effectLst>
              </c:spPr>
              <c:txPr>
                <a:bodyPr rot="0" spcFirstLastPara="1" vertOverflow="ellipsis" vert="horz" wrap="square" lIns="38100" tIns="19050" rIns="38100" bIns="19050" anchor="ctr" anchorCtr="0">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1807956868926672"/>
                      <c:h val="0.10698689956331878"/>
                    </c:manualLayout>
                  </c15:layout>
                </c:ext>
                <c:ext xmlns:c16="http://schemas.microsoft.com/office/drawing/2014/chart" uri="{C3380CC4-5D6E-409C-BE32-E72D297353CC}">
                  <c16:uniqueId val="{00000002-C611-4D3C-92C6-5DBA3ED1E9FF}"/>
                </c:ext>
              </c:extLst>
            </c:dLbl>
            <c:dLbl>
              <c:idx val="1"/>
              <c:spPr>
                <a:noFill/>
                <a:ln>
                  <a:noFill/>
                </a:ln>
                <a:effectLst>
                  <a:glow>
                    <a:schemeClr val="accent1"/>
                  </a:glow>
                  <a:outerShdw blurRad="50800" dir="2700000" algn="tl" rotWithShape="0">
                    <a:prstClr val="black">
                      <a:alpha val="0"/>
                    </a:prstClr>
                  </a:outerShdw>
                </a:effectLst>
              </c:spPr>
              <c:txPr>
                <a:bodyPr rot="0" spcFirstLastPara="1" vertOverflow="ellipsis" vert="horz" wrap="square" lIns="38100" tIns="19050" rIns="38100" bIns="19050" anchor="ctr" anchorCtr="0">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1882351322459835"/>
                      <c:h val="0.10788209606986898"/>
                    </c:manualLayout>
                  </c15:layout>
                </c:ext>
                <c:ext xmlns:c16="http://schemas.microsoft.com/office/drawing/2014/chart" uri="{C3380CC4-5D6E-409C-BE32-E72D297353CC}">
                  <c16:uniqueId val="{00000008-C611-4D3C-92C6-5DBA3ED1E9FF}"/>
                </c:ext>
              </c:extLst>
            </c:dLbl>
            <c:dLbl>
              <c:idx val="2"/>
              <c:spPr>
                <a:noFill/>
                <a:ln>
                  <a:noFill/>
                </a:ln>
                <a:effectLst>
                  <a:glow>
                    <a:schemeClr val="accent1"/>
                  </a:glow>
                  <a:outerShdw blurRad="50800" dir="2700000" algn="tl" rotWithShape="0">
                    <a:prstClr val="black">
                      <a:alpha val="0"/>
                    </a:prstClr>
                  </a:outerShdw>
                </a:effectLst>
              </c:spPr>
              <c:txPr>
                <a:bodyPr rot="0" spcFirstLastPara="1" vertOverflow="ellipsis" vert="horz" wrap="square" lIns="38100" tIns="19050" rIns="38100" bIns="19050" anchor="ctr" anchorCtr="0">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3053292130990546"/>
                      <c:h val="0.11180133327861065"/>
                    </c:manualLayout>
                  </c15:layout>
                </c:ext>
                <c:ext xmlns:c16="http://schemas.microsoft.com/office/drawing/2014/chart" uri="{C3380CC4-5D6E-409C-BE32-E72D297353CC}">
                  <c16:uniqueId val="{00000009-C611-4D3C-92C6-5DBA3ED1E9FF}"/>
                </c:ext>
              </c:extLst>
            </c:dLbl>
            <c:dLbl>
              <c:idx val="3"/>
              <c:spPr>
                <a:noFill/>
                <a:ln>
                  <a:noFill/>
                </a:ln>
                <a:effectLst>
                  <a:glow>
                    <a:schemeClr val="accent1"/>
                  </a:glow>
                  <a:outerShdw blurRad="50800" dir="2700000" algn="tl" rotWithShape="0">
                    <a:prstClr val="black">
                      <a:alpha val="0"/>
                    </a:prstClr>
                  </a:outerShdw>
                </a:effectLst>
              </c:spPr>
              <c:txPr>
                <a:bodyPr rot="0" spcFirstLastPara="1" vertOverflow="ellipsis" vert="horz" wrap="square" lIns="38100" tIns="19050" rIns="38100" bIns="19050" anchor="ctr" anchorCtr="0">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275951383272296"/>
                      <c:h val="9.4224801696835864E-2"/>
                    </c:manualLayout>
                  </c15:layout>
                </c:ext>
                <c:ext xmlns:c16="http://schemas.microsoft.com/office/drawing/2014/chart" uri="{C3380CC4-5D6E-409C-BE32-E72D297353CC}">
                  <c16:uniqueId val="{00000007-C611-4D3C-92C6-5DBA3ED1E9FF}"/>
                </c:ext>
              </c:extLst>
            </c:dLbl>
            <c:dLbl>
              <c:idx val="4"/>
              <c:spPr>
                <a:noFill/>
                <a:ln>
                  <a:noFill/>
                </a:ln>
                <a:effectLst>
                  <a:glow>
                    <a:schemeClr val="accent1"/>
                  </a:glow>
                  <a:outerShdw blurRad="50800" dir="2700000" algn="tl" rotWithShape="0">
                    <a:prstClr val="black">
                      <a:alpha val="0"/>
                    </a:prstClr>
                  </a:outerShdw>
                </a:effectLst>
              </c:spPr>
              <c:txPr>
                <a:bodyPr rot="0" spcFirstLastPara="1" vertOverflow="ellipsis" vert="horz" wrap="square" lIns="38100" tIns="19050" rIns="38100" bIns="19050" anchor="ctr" anchorCtr="0">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1240804337113193"/>
                      <c:h val="0.10255504533144941"/>
                    </c:manualLayout>
                  </c15:layout>
                </c:ext>
                <c:ext xmlns:c16="http://schemas.microsoft.com/office/drawing/2014/chart" uri="{C3380CC4-5D6E-409C-BE32-E72D297353CC}">
                  <c16:uniqueId val="{00000006-C611-4D3C-92C6-5DBA3ED1E9FF}"/>
                </c:ext>
              </c:extLst>
            </c:dLbl>
            <c:dLbl>
              <c:idx val="5"/>
              <c:spPr>
                <a:noFill/>
                <a:ln>
                  <a:noFill/>
                </a:ln>
                <a:effectLst>
                  <a:glow>
                    <a:schemeClr val="accent1"/>
                  </a:glow>
                  <a:outerShdw blurRad="50800" dir="2700000" algn="tl" rotWithShape="0">
                    <a:prstClr val="black">
                      <a:alpha val="0"/>
                    </a:prstClr>
                  </a:outerShdw>
                </a:effectLst>
              </c:spPr>
              <c:txPr>
                <a:bodyPr rot="0" spcFirstLastPara="1" vertOverflow="ellipsis" vert="horz" wrap="square" lIns="38100" tIns="19050" rIns="38100" bIns="19050" anchor="ctr" anchorCtr="0">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1120475403551514"/>
                      <c:h val="0.10168652292373612"/>
                    </c:manualLayout>
                  </c15:layout>
                </c:ext>
                <c:ext xmlns:c16="http://schemas.microsoft.com/office/drawing/2014/chart" uri="{C3380CC4-5D6E-409C-BE32-E72D297353CC}">
                  <c16:uniqueId val="{00000005-C611-4D3C-92C6-5DBA3ED1E9FF}"/>
                </c:ext>
              </c:extLst>
            </c:dLbl>
            <c:dLbl>
              <c:idx val="6"/>
              <c:spPr>
                <a:noFill/>
                <a:ln>
                  <a:noFill/>
                </a:ln>
                <a:effectLst>
                  <a:glow>
                    <a:schemeClr val="accent1"/>
                  </a:glow>
                  <a:outerShdw blurRad="50800" dir="2700000" algn="tl" rotWithShape="0">
                    <a:prstClr val="black">
                      <a:alpha val="0"/>
                    </a:prstClr>
                  </a:outerShdw>
                </a:effectLst>
              </c:spPr>
              <c:txPr>
                <a:bodyPr rot="0" spcFirstLastPara="1" vertOverflow="ellipsis" vert="horz" wrap="square" lIns="38100" tIns="19050" rIns="38100" bIns="19050" anchor="ctr" anchorCtr="0">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1504700552281946"/>
                      <c:h val="9.325271804664309E-2"/>
                    </c:manualLayout>
                  </c15:layout>
                </c:ext>
                <c:ext xmlns:c16="http://schemas.microsoft.com/office/drawing/2014/chart" uri="{C3380CC4-5D6E-409C-BE32-E72D297353CC}">
                  <c16:uniqueId val="{0000000B-C611-4D3C-92C6-5DBA3ED1E9FF}"/>
                </c:ext>
              </c:extLst>
            </c:dLbl>
            <c:dLbl>
              <c:idx val="7"/>
              <c:spPr>
                <a:noFill/>
                <a:ln>
                  <a:noFill/>
                </a:ln>
                <a:effectLst>
                  <a:glow>
                    <a:schemeClr val="accent1"/>
                  </a:glow>
                  <a:outerShdw blurRad="50800" dir="2700000" algn="tl" rotWithShape="0">
                    <a:prstClr val="black">
                      <a:alpha val="0"/>
                    </a:prstClr>
                  </a:outerShdw>
                </a:effectLst>
              </c:spPr>
              <c:txPr>
                <a:bodyPr rot="0" spcFirstLastPara="1" vertOverflow="ellipsis" vert="horz" wrap="square" lIns="38100" tIns="19050" rIns="38100" bIns="19050" anchor="ctr" anchorCtr="0">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0674592728348883"/>
                      <c:h val="0.10296998772568902"/>
                    </c:manualLayout>
                  </c15:layout>
                </c:ext>
                <c:ext xmlns:c16="http://schemas.microsoft.com/office/drawing/2014/chart" uri="{C3380CC4-5D6E-409C-BE32-E72D297353CC}">
                  <c16:uniqueId val="{00000004-C611-4D3C-92C6-5DBA3ED1E9FF}"/>
                </c:ext>
              </c:extLst>
            </c:dLbl>
            <c:dLbl>
              <c:idx val="8"/>
              <c:spPr>
                <a:noFill/>
                <a:ln>
                  <a:noFill/>
                </a:ln>
                <a:effectLst>
                  <a:glow>
                    <a:schemeClr val="accent1"/>
                  </a:glow>
                  <a:outerShdw blurRad="50800" dir="2700000" algn="tl" rotWithShape="0">
                    <a:prstClr val="black">
                      <a:alpha val="0"/>
                    </a:prstClr>
                  </a:outerShdw>
                </a:effectLst>
              </c:spPr>
              <c:txPr>
                <a:bodyPr rot="0" spcFirstLastPara="1" vertOverflow="ellipsis" vert="horz" wrap="square" lIns="38100" tIns="19050" rIns="38100" bIns="19050" anchor="ctr" anchorCtr="0">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0618373609244089"/>
                      <c:h val="0.10099232759427348"/>
                    </c:manualLayout>
                  </c15:layout>
                </c:ext>
                <c:ext xmlns:c16="http://schemas.microsoft.com/office/drawing/2014/chart" uri="{C3380CC4-5D6E-409C-BE32-E72D297353CC}">
                  <c16:uniqueId val="{0000000A-C611-4D3C-92C6-5DBA3ED1E9FF}"/>
                </c:ext>
              </c:extLst>
            </c:dLbl>
            <c:dLbl>
              <c:idx val="9"/>
              <c:spPr>
                <a:noFill/>
                <a:ln>
                  <a:noFill/>
                </a:ln>
                <a:effectLst>
                  <a:glow>
                    <a:schemeClr val="accent1"/>
                  </a:glow>
                  <a:outerShdw blurRad="50800" dir="2700000" algn="tl" rotWithShape="0">
                    <a:prstClr val="black">
                      <a:alpha val="0"/>
                    </a:prstClr>
                  </a:outerShdw>
                </a:effectLst>
              </c:spPr>
              <c:txPr>
                <a:bodyPr rot="0" spcFirstLastPara="1" vertOverflow="ellipsis" vert="horz" wrap="square" lIns="38100" tIns="19050" rIns="38100" bIns="19050" anchor="ctr" anchorCtr="0">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1317108862568777"/>
                      <c:h val="8.7292453267250186E-2"/>
                    </c:manualLayout>
                  </c15:layout>
                </c:ext>
                <c:ext xmlns:c16="http://schemas.microsoft.com/office/drawing/2014/chart" uri="{C3380CC4-5D6E-409C-BE32-E72D297353CC}">
                  <c16:uniqueId val="{00000003-C611-4D3C-92C6-5DBA3ED1E9FF}"/>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'Revenue by Ship Country'!$A$2:$A$11</c:f>
              <c:strCache>
                <c:ptCount val="10"/>
                <c:pt idx="0">
                  <c:v>USA</c:v>
                </c:pt>
                <c:pt idx="1">
                  <c:v>Germany</c:v>
                </c:pt>
                <c:pt idx="2">
                  <c:v>Austria</c:v>
                </c:pt>
                <c:pt idx="3">
                  <c:v>Brazil</c:v>
                </c:pt>
                <c:pt idx="4">
                  <c:v>France</c:v>
                </c:pt>
                <c:pt idx="5">
                  <c:v>Venezuela</c:v>
                </c:pt>
                <c:pt idx="6">
                  <c:v>UK</c:v>
                </c:pt>
                <c:pt idx="7">
                  <c:v>Sweden</c:v>
                </c:pt>
                <c:pt idx="8">
                  <c:v>Ireland</c:v>
                </c:pt>
                <c:pt idx="9">
                  <c:v>Canada</c:v>
                </c:pt>
              </c:strCache>
            </c:strRef>
          </c:cat>
          <c:val>
            <c:numRef>
              <c:f>'Revenue by Ship Country'!$B$2:$B$11</c:f>
              <c:numCache>
                <c:formatCode>"$"#,##0.00</c:formatCode>
                <c:ptCount val="10"/>
                <c:pt idx="0">
                  <c:v>263566.98</c:v>
                </c:pt>
                <c:pt idx="1">
                  <c:v>244640.63</c:v>
                </c:pt>
                <c:pt idx="2">
                  <c:v>139496.63</c:v>
                </c:pt>
                <c:pt idx="3">
                  <c:v>114968.48</c:v>
                </c:pt>
                <c:pt idx="4">
                  <c:v>85498.76</c:v>
                </c:pt>
                <c:pt idx="5">
                  <c:v>60814.89</c:v>
                </c:pt>
                <c:pt idx="6">
                  <c:v>60616.51</c:v>
                </c:pt>
                <c:pt idx="7">
                  <c:v>59523.7</c:v>
                </c:pt>
                <c:pt idx="8">
                  <c:v>57317.39</c:v>
                </c:pt>
                <c:pt idx="9">
                  <c:v>55334.1</c:v>
                </c:pt>
              </c:numCache>
            </c:numRef>
          </c:val>
          <c:extLst>
            <c:ext xmlns:c16="http://schemas.microsoft.com/office/drawing/2014/chart" uri="{C3380CC4-5D6E-409C-BE32-E72D297353CC}">
              <c16:uniqueId val="{00000000-C611-4D3C-92C6-5DBA3ED1E9F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1050" b="1" i="0" u="none" strike="noStrike" kern="1200" baseline="0">
              <a:solidFill>
                <a:schemeClr val="bg2">
                  <a:lumMod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[Santarin_StoryTellingEX1.xlsx]Category Revenue!PivotTable5</c:name>
    <c:fmtId val="0"/>
  </c:pivotSource>
  <c:chart>
    <c:title>
      <c:tx>
        <c:rich>
          <a:bodyPr rot="0" spcFirstLastPara="1" vertOverflow="ellipsis" vert="horz" wrap="square" anchor="ctr" anchorCtr="1"/>
          <a:lstStyle/>
          <a:p>
            <a:pPr>
              <a:defRPr sz="1800" b="1" i="0" u="none" strike="noStrike" kern="1200" spc="0" baseline="0">
                <a:solidFill>
                  <a:schemeClr val="bg2">
                    <a:lumMod val="25000"/>
                  </a:schemeClr>
                </a:solidFill>
                <a:latin typeface="Aptos" panose="020B0004020202020204" pitchFamily="34" charset="0"/>
                <a:ea typeface="+mn-ea"/>
                <a:cs typeface="+mn-cs"/>
              </a:defRPr>
            </a:pPr>
            <a:r>
              <a:rPr lang="en-US" sz="1800" b="1">
                <a:solidFill>
                  <a:schemeClr val="bg2">
                    <a:lumMod val="25000"/>
                  </a:schemeClr>
                </a:solidFill>
                <a:latin typeface="Aptos" panose="020B0004020202020204" pitchFamily="34" charset="0"/>
              </a:rPr>
              <a:t>Category Revenue</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bg2">
                  <a:lumMod val="25000"/>
                </a:schemeClr>
              </a:solidFill>
              <a:latin typeface="Aptos" panose="020B0004020202020204" pitchFamily="34" charset="0"/>
              <a:ea typeface="+mn-ea"/>
              <a:cs typeface="+mn-cs"/>
            </a:defRPr>
          </a:pPr>
          <a:endParaRPr lang="en-US"/>
        </a:p>
      </c:txPr>
    </c:title>
    <c:autoTitleDeleted val="0"/>
    <c:pivotFmts>
      <c:pivotFmt>
        <c:idx val="0"/>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78393282971773"/>
          <c:y val="9.7980384030943501E-2"/>
          <c:w val="0.86636341623668189"/>
          <c:h val="0.72003883356241727"/>
        </c:manualLayout>
      </c:layout>
      <c:barChart>
        <c:barDir val="col"/>
        <c:grouping val="clustered"/>
        <c:varyColors val="0"/>
        <c:ser>
          <c:idx val="0"/>
          <c:order val="0"/>
          <c:tx>
            <c:strRef>
              <c:f>'Category Revenue'!$B$1</c:f>
              <c:strCache>
                <c:ptCount val="1"/>
                <c:pt idx="0">
                  <c:v>1997 Revenue</c:v>
                </c:pt>
              </c:strCache>
            </c:strRef>
          </c:tx>
          <c:spPr>
            <a:solidFill>
              <a:schemeClr val="tx2">
                <a:lumMod val="90000"/>
                <a:lumOff val="10000"/>
              </a:schemeClr>
            </a:solidFill>
            <a:ln>
              <a:noFill/>
            </a:ln>
            <a:effectLst/>
          </c:spPr>
          <c:invertIfNegative val="0"/>
          <c:cat>
            <c:multiLvlStrRef>
              <c:f>'Category Revenue'!$A$2:$A$17</c:f>
              <c:multiLvlStrCache>
                <c:ptCount val="8"/>
                <c:lvl>
                  <c:pt idx="0">
                    <c:v>Grains/
Cereals</c:v>
                  </c:pt>
                  <c:pt idx="1">
                    <c:v>Produce</c:v>
                  </c:pt>
                  <c:pt idx="2">
                    <c:v>Condiments</c:v>
                  </c:pt>
                  <c:pt idx="3">
                    <c:v>Dairy Products</c:v>
                  </c:pt>
                  <c:pt idx="4">
                    <c:v>Confections</c:v>
                  </c:pt>
                  <c:pt idx="5">
                    <c:v>Seafood</c:v>
                  </c:pt>
                  <c:pt idx="6">
                    <c:v>Meat/
Poultry</c:v>
                  </c:pt>
                  <c:pt idx="7">
                    <c:v>Beverages</c:v>
                  </c:pt>
                </c:lvl>
                <c:lvl>
                  <c:pt idx="0">
                    <c:v>-49.7</c:v>
                  </c:pt>
                  <c:pt idx="1">
                    <c:v>-43.8</c:v>
                  </c:pt>
                  <c:pt idx="2">
                    <c:v>-42.1</c:v>
                  </c:pt>
                  <c:pt idx="3">
                    <c:v>-33.2</c:v>
                  </c:pt>
                  <c:pt idx="4">
                    <c:v>-33.1</c:v>
                  </c:pt>
                  <c:pt idx="5">
                    <c:v>-31.7</c:v>
                  </c:pt>
                  <c:pt idx="6">
                    <c:v>-31.2</c:v>
                  </c:pt>
                  <c:pt idx="7">
                    <c:v>10.7</c:v>
                  </c:pt>
                </c:lvl>
              </c:multiLvlStrCache>
            </c:multiLvlStrRef>
          </c:cat>
          <c:val>
            <c:numRef>
              <c:f>'Category Revenue'!$B$2:$B$17</c:f>
              <c:numCache>
                <c:formatCode>"$"#,##0.00</c:formatCode>
                <c:ptCount val="8"/>
                <c:pt idx="0">
                  <c:v>60486.95</c:v>
                </c:pt>
                <c:pt idx="1">
                  <c:v>57718.55</c:v>
                </c:pt>
                <c:pt idx="2">
                  <c:v>59679</c:v>
                </c:pt>
                <c:pt idx="3">
                  <c:v>123910.8</c:v>
                </c:pt>
                <c:pt idx="4">
                  <c:v>87227.77</c:v>
                </c:pt>
                <c:pt idx="5">
                  <c:v>71320.649999999994</c:v>
                </c:pt>
                <c:pt idx="6">
                  <c:v>87621.03</c:v>
                </c:pt>
                <c:pt idx="7">
                  <c:v>110424</c:v>
                </c:pt>
              </c:numCache>
            </c:numRef>
          </c:val>
          <c:extLst>
            <c:ext xmlns:c16="http://schemas.microsoft.com/office/drawing/2014/chart" uri="{C3380CC4-5D6E-409C-BE32-E72D297353CC}">
              <c16:uniqueId val="{00000000-A22C-470A-A683-49408B41DFAC}"/>
            </c:ext>
          </c:extLst>
        </c:ser>
        <c:ser>
          <c:idx val="1"/>
          <c:order val="1"/>
          <c:tx>
            <c:strRef>
              <c:f>'Category Revenue'!$C$1</c:f>
              <c:strCache>
                <c:ptCount val="1"/>
                <c:pt idx="0">
                  <c:v>1998 Revenue</c:v>
                </c:pt>
              </c:strCache>
            </c:strRef>
          </c:tx>
          <c:spPr>
            <a:solidFill>
              <a:schemeClr val="accent1">
                <a:lumMod val="60000"/>
                <a:lumOff val="40000"/>
              </a:schemeClr>
            </a:solidFill>
            <a:ln>
              <a:noFill/>
            </a:ln>
            <a:effectLst/>
          </c:spPr>
          <c:invertIfNegative val="0"/>
          <c:cat>
            <c:multiLvlStrRef>
              <c:f>'Category Revenue'!$A$2:$A$17</c:f>
              <c:multiLvlStrCache>
                <c:ptCount val="8"/>
                <c:lvl>
                  <c:pt idx="0">
                    <c:v>Grains/
Cereals</c:v>
                  </c:pt>
                  <c:pt idx="1">
                    <c:v>Produce</c:v>
                  </c:pt>
                  <c:pt idx="2">
                    <c:v>Condiments</c:v>
                  </c:pt>
                  <c:pt idx="3">
                    <c:v>Dairy Products</c:v>
                  </c:pt>
                  <c:pt idx="4">
                    <c:v>Confections</c:v>
                  </c:pt>
                  <c:pt idx="5">
                    <c:v>Seafood</c:v>
                  </c:pt>
                  <c:pt idx="6">
                    <c:v>Meat/
Poultry</c:v>
                  </c:pt>
                  <c:pt idx="7">
                    <c:v>Beverages</c:v>
                  </c:pt>
                </c:lvl>
                <c:lvl>
                  <c:pt idx="0">
                    <c:v>-49.7</c:v>
                  </c:pt>
                  <c:pt idx="1">
                    <c:v>-43.8</c:v>
                  </c:pt>
                  <c:pt idx="2">
                    <c:v>-42.1</c:v>
                  </c:pt>
                  <c:pt idx="3">
                    <c:v>-33.2</c:v>
                  </c:pt>
                  <c:pt idx="4">
                    <c:v>-33.1</c:v>
                  </c:pt>
                  <c:pt idx="5">
                    <c:v>-31.7</c:v>
                  </c:pt>
                  <c:pt idx="6">
                    <c:v>-31.2</c:v>
                  </c:pt>
                  <c:pt idx="7">
                    <c:v>10.7</c:v>
                  </c:pt>
                </c:lvl>
              </c:multiLvlStrCache>
            </c:multiLvlStrRef>
          </c:cat>
          <c:val>
            <c:numRef>
              <c:f>'Category Revenue'!$C$2:$C$17</c:f>
              <c:numCache>
                <c:formatCode>"$"#,##0.00</c:formatCode>
                <c:ptCount val="8"/>
                <c:pt idx="0">
                  <c:v>30422.25</c:v>
                </c:pt>
                <c:pt idx="1">
                  <c:v>32415.85</c:v>
                </c:pt>
                <c:pt idx="2">
                  <c:v>34557.449999999997</c:v>
                </c:pt>
                <c:pt idx="3">
                  <c:v>82803.899999999994</c:v>
                </c:pt>
                <c:pt idx="4">
                  <c:v>58359.73</c:v>
                </c:pt>
                <c:pt idx="5">
                  <c:v>48712.84</c:v>
                </c:pt>
                <c:pt idx="6">
                  <c:v>60275.57</c:v>
                </c:pt>
                <c:pt idx="7">
                  <c:v>122223.75</c:v>
                </c:pt>
              </c:numCache>
            </c:numRef>
          </c:val>
          <c:extLst>
            <c:ext xmlns:c16="http://schemas.microsoft.com/office/drawing/2014/chart" uri="{C3380CC4-5D6E-409C-BE32-E72D297353CC}">
              <c16:uniqueId val="{00000002-A22C-470A-A683-49408B41DFAC}"/>
            </c:ext>
          </c:extLst>
        </c:ser>
        <c:dLbls>
          <c:showLegendKey val="0"/>
          <c:showVal val="0"/>
          <c:showCatName val="0"/>
          <c:showSerName val="0"/>
          <c:showPercent val="0"/>
          <c:showBubbleSize val="0"/>
        </c:dLbls>
        <c:gapWidth val="219"/>
        <c:overlap val="-27"/>
        <c:axId val="1548016176"/>
        <c:axId val="1548024336"/>
      </c:barChart>
      <c:catAx>
        <c:axId val="15480161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2">
                    <a:lumMod val="25000"/>
                  </a:schemeClr>
                </a:solidFill>
                <a:latin typeface="+mn-lt"/>
                <a:ea typeface="+mn-ea"/>
                <a:cs typeface="+mn-cs"/>
              </a:defRPr>
            </a:pPr>
            <a:endParaRPr lang="en-US"/>
          </a:p>
        </c:txPr>
        <c:crossAx val="1548024336"/>
        <c:crosses val="autoZero"/>
        <c:auto val="1"/>
        <c:lblAlgn val="ctr"/>
        <c:lblOffset val="100"/>
        <c:noMultiLvlLbl val="0"/>
      </c:catAx>
      <c:valAx>
        <c:axId val="15480243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2">
                    <a:lumMod val="25000"/>
                  </a:schemeClr>
                </a:solidFill>
                <a:latin typeface="+mn-lt"/>
                <a:ea typeface="+mn-ea"/>
                <a:cs typeface="+mn-cs"/>
              </a:defRPr>
            </a:pPr>
            <a:endParaRPr lang="en-US"/>
          </a:p>
        </c:txPr>
        <c:crossAx val="154801617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19239</xdr:colOff>
      <xdr:row>7</xdr:row>
      <xdr:rowOff>47437</xdr:rowOff>
    </xdr:from>
    <xdr:to>
      <xdr:col>10</xdr:col>
      <xdr:colOff>235324</xdr:colOff>
      <xdr:row>27</xdr:row>
      <xdr:rowOff>107949</xdr:rowOff>
    </xdr:to>
    <xdr:graphicFrame macro="">
      <xdr:nvGraphicFramePr>
        <xdr:cNvPr id="2" name="Chart 1">
          <a:extLst>
            <a:ext uri="{FF2B5EF4-FFF2-40B4-BE49-F238E27FC236}">
              <a16:creationId xmlns:a16="http://schemas.microsoft.com/office/drawing/2014/main" id="{13160072-54E5-473B-8530-3D77C7A512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268941</xdr:colOff>
      <xdr:row>7</xdr:row>
      <xdr:rowOff>47437</xdr:rowOff>
    </xdr:from>
    <xdr:to>
      <xdr:col>20</xdr:col>
      <xdr:colOff>588009</xdr:colOff>
      <xdr:row>18</xdr:row>
      <xdr:rowOff>78851</xdr:rowOff>
    </xdr:to>
    <xdr:graphicFrame macro="">
      <xdr:nvGraphicFramePr>
        <xdr:cNvPr id="3" name="Chart 2">
          <a:extLst>
            <a:ext uri="{FF2B5EF4-FFF2-40B4-BE49-F238E27FC236}">
              <a16:creationId xmlns:a16="http://schemas.microsoft.com/office/drawing/2014/main" id="{CF7C3F2D-248F-40D6-AA4D-DD91C1B969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268942</xdr:colOff>
      <xdr:row>18</xdr:row>
      <xdr:rowOff>104027</xdr:rowOff>
    </xdr:from>
    <xdr:to>
      <xdr:col>20</xdr:col>
      <xdr:colOff>590736</xdr:colOff>
      <xdr:row>37</xdr:row>
      <xdr:rowOff>78442</xdr:rowOff>
    </xdr:to>
    <xdr:graphicFrame macro="">
      <xdr:nvGraphicFramePr>
        <xdr:cNvPr id="4" name="Chart 3">
          <a:extLst>
            <a:ext uri="{FF2B5EF4-FFF2-40B4-BE49-F238E27FC236}">
              <a16:creationId xmlns:a16="http://schemas.microsoft.com/office/drawing/2014/main" id="{B8BB2013-CDFF-4239-866F-FBE75BF55F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19237</xdr:colOff>
      <xdr:row>27</xdr:row>
      <xdr:rowOff>134283</xdr:rowOff>
    </xdr:from>
    <xdr:to>
      <xdr:col>10</xdr:col>
      <xdr:colOff>224118</xdr:colOff>
      <xdr:row>58</xdr:row>
      <xdr:rowOff>145676</xdr:rowOff>
    </xdr:to>
    <xdr:graphicFrame macro="">
      <xdr:nvGraphicFramePr>
        <xdr:cNvPr id="5" name="Chart 4">
          <a:extLst>
            <a:ext uri="{FF2B5EF4-FFF2-40B4-BE49-F238E27FC236}">
              <a16:creationId xmlns:a16="http://schemas.microsoft.com/office/drawing/2014/main" id="{E8DFA1E2-84B7-4D3D-AE2F-458847960D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246531</xdr:colOff>
      <xdr:row>37</xdr:row>
      <xdr:rowOff>100853</xdr:rowOff>
    </xdr:from>
    <xdr:to>
      <xdr:col>20</xdr:col>
      <xdr:colOff>600264</xdr:colOff>
      <xdr:row>58</xdr:row>
      <xdr:rowOff>142500</xdr:rowOff>
    </xdr:to>
    <xdr:graphicFrame macro="">
      <xdr:nvGraphicFramePr>
        <xdr:cNvPr id="7" name="Chart 6">
          <a:extLst>
            <a:ext uri="{FF2B5EF4-FFF2-40B4-BE49-F238E27FC236}">
              <a16:creationId xmlns:a16="http://schemas.microsoft.com/office/drawing/2014/main" id="{8A8AE80C-BCA9-4DB2-9D94-1973A32D01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215900</xdr:colOff>
      <xdr:row>1</xdr:row>
      <xdr:rowOff>141287</xdr:rowOff>
    </xdr:from>
    <xdr:to>
      <xdr:col>8</xdr:col>
      <xdr:colOff>514350</xdr:colOff>
      <xdr:row>18</xdr:row>
      <xdr:rowOff>161925</xdr:rowOff>
    </xdr:to>
    <xdr:sp macro="" textlink="">
      <xdr:nvSpPr>
        <xdr:cNvPr id="3" name="TextBox 2">
          <a:extLst>
            <a:ext uri="{FF2B5EF4-FFF2-40B4-BE49-F238E27FC236}">
              <a16:creationId xmlns:a16="http://schemas.microsoft.com/office/drawing/2014/main" id="{515848AD-30BD-0D0F-73BB-2A8481310446}"/>
            </a:ext>
          </a:extLst>
        </xdr:cNvPr>
        <xdr:cNvSpPr txBox="1"/>
      </xdr:nvSpPr>
      <xdr:spPr>
        <a:xfrm>
          <a:off x="825500" y="322262"/>
          <a:ext cx="4565650" cy="30972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200" b="1">
            <a:latin typeface="Aptos" panose="020B0004020202020204" pitchFamily="34" charset="0"/>
          </a:endParaRPr>
        </a:p>
        <a:p>
          <a:r>
            <a:rPr lang="en-US" sz="1200" b="1">
              <a:latin typeface="Aptos" panose="020B0004020202020204" pitchFamily="34" charset="0"/>
            </a:rPr>
            <a:t>Executive Summary:</a:t>
          </a:r>
        </a:p>
        <a:p>
          <a:endParaRPr lang="en-US" sz="1200">
            <a:latin typeface="Aptos" panose="020B00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a:effectLst/>
              <a:latin typeface="Aptos" panose="020B0004020202020204" pitchFamily="34" charset="0"/>
            </a:rPr>
            <a:t>Northwind’s results show that most revenue comes from a few key categories. Grains and Cereals lead with $1.25 million, followed by Produce. Sales grew sharply in early 1998 compared to 1997, with about 120% growth in the first four months. After April, sales dropped off, which could be due to missing data or seasonal changes. Top employees like Margaret Peacock, who brought in over $250,000, make a big difference in overall performance. However, falling sales in major areas like Dairy Products and uneven employee results could threaten future growth. To move forward, leaders should invest more in fast-growing areas like Beverages and tackle underperformance with targeted promotions, training, and better data tracking.</a:t>
          </a:r>
        </a:p>
        <a:p>
          <a:endParaRPr lang="en-US" sz="1200">
            <a:latin typeface="Aptos" panose="020B00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238125</xdr:colOff>
      <xdr:row>1</xdr:row>
      <xdr:rowOff>6350</xdr:rowOff>
    </xdr:from>
    <xdr:to>
      <xdr:col>10</xdr:col>
      <xdr:colOff>533400</xdr:colOff>
      <xdr:row>34</xdr:row>
      <xdr:rowOff>95250</xdr:rowOff>
    </xdr:to>
    <xdr:sp macro="" textlink="">
      <xdr:nvSpPr>
        <xdr:cNvPr id="2" name="TextBox 1">
          <a:extLst>
            <a:ext uri="{FF2B5EF4-FFF2-40B4-BE49-F238E27FC236}">
              <a16:creationId xmlns:a16="http://schemas.microsoft.com/office/drawing/2014/main" id="{D3CF4F83-0A89-3833-5350-69251ECAE16F}"/>
            </a:ext>
          </a:extLst>
        </xdr:cNvPr>
        <xdr:cNvSpPr txBox="1"/>
      </xdr:nvSpPr>
      <xdr:spPr>
        <a:xfrm>
          <a:off x="847725" y="187325"/>
          <a:ext cx="5781675" cy="6061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200" b="1">
            <a:latin typeface="Aptos" panose="020B0004020202020204" pitchFamily="34" charset="0"/>
          </a:endParaRPr>
        </a:p>
        <a:p>
          <a:r>
            <a:rPr lang="en-US" sz="1200" b="1">
              <a:latin typeface="Aptos" panose="020B0004020202020204" pitchFamily="34" charset="0"/>
            </a:rPr>
            <a:t>Insights &amp; Recommendation:</a:t>
          </a:r>
        </a:p>
        <a:p>
          <a:endParaRPr lang="en-US" sz="1200" b="1">
            <a:latin typeface="Aptos" panose="020B0004020202020204" pitchFamily="34" charset="0"/>
          </a:endParaRPr>
        </a:p>
        <a:p>
          <a:r>
            <a:rPr lang="en-US" sz="1200">
              <a:effectLst/>
              <a:latin typeface="Aptos" panose="020B0004020202020204" pitchFamily="34" charset="0"/>
            </a:rPr>
            <a:t>Grains and cereals brought in the most revenue at $1,253,731.79, showing strong demand. Produce was close behind with $1,249,189.99. For categories with lower sales, we may need to adjust pricing or run promotions. We should also increase inventory and marketing for the top sellers.</a:t>
          </a:r>
        </a:p>
        <a:p>
          <a:endParaRPr lang="en-US" sz="1200">
            <a:effectLst/>
            <a:latin typeface="Aptos" panose="020B0004020202020204" pitchFamily="34" charset="0"/>
          </a:endParaRPr>
        </a:p>
        <a:p>
          <a:r>
            <a:rPr lang="en-US" sz="1200">
              <a:effectLst/>
              <a:latin typeface="Aptos" panose="020B0004020202020204" pitchFamily="34" charset="0"/>
            </a:rPr>
            <a:t>Revenue changes from month to month, with clear increases early in the year, especially in March and April 1998. The first few months of 1998 outperformed 1997, with about 120% growth in the first four months. The sharp drop in May 1998 suggests the data may be incomplete, so trends after April should be reviewed carefully. We should focus resources on busy months and use promotions to boost sales in slower months, while also checking that our data is complete.</a:t>
          </a:r>
        </a:p>
        <a:p>
          <a:endParaRPr lang="en-US" sz="1200">
            <a:effectLst/>
            <a:latin typeface="Aptos" panose="020B0004020202020204" pitchFamily="34" charset="0"/>
          </a:endParaRPr>
        </a:p>
        <a:p>
          <a:r>
            <a:rPr lang="en-US" sz="1200">
              <a:effectLst/>
              <a:latin typeface="Aptos" panose="020B0004020202020204" pitchFamily="34" charset="0"/>
            </a:rPr>
            <a:t>Margaret Peacock leads in both revenue, with $250,187.45, and number of orders at 156, showing strong sales performance. Janet Leverling is next, with $213,051.30 in revenue and 127 orders. Some employees have much lower numbers, which points to possible performance gaps. We should review what top performers are doing well and offer training to help others improve.</a:t>
          </a:r>
        </a:p>
        <a:p>
          <a:endParaRPr lang="en-US" sz="1200">
            <a:effectLst/>
            <a:latin typeface="Aptos" panose="020B0004020202020204" pitchFamily="34" charset="0"/>
          </a:endParaRPr>
        </a:p>
        <a:p>
          <a:r>
            <a:rPr lang="en-US" sz="1200">
              <a:effectLst/>
              <a:latin typeface="Aptos" panose="020B0004020202020204" pitchFamily="34" charset="0"/>
            </a:rPr>
            <a:t>The USA and Germany lead in revenue generation, making up 23% and 22% of total revenue, respectively. Focus on investment, marketing, and logistics in these strong markets to maintain and boost revenue. Look into smaller markets to find obstacles to growth. Consider targeted promotions or partnerships to expand market share.</a:t>
          </a:r>
        </a:p>
        <a:p>
          <a:endParaRPr lang="en-US" sz="1200">
            <a:effectLst/>
            <a:latin typeface="Aptos" panose="020B0004020202020204" pitchFamily="34" charset="0"/>
          </a:endParaRPr>
        </a:p>
        <a:p>
          <a:r>
            <a:rPr lang="en-US" sz="1200">
              <a:effectLst/>
              <a:latin typeface="Aptos" panose="020B0004020202020204" pitchFamily="34" charset="0"/>
            </a:rPr>
            <a:t>Beverages is the only category with year-over-year growth, increasing from about $110,000 in 1997 to $122,000 in 1998. Dairy Products, which led in 1997, dropped sharply in 1998. We should invest more in inventory and marketing for Beverages to build on its growth. At the same time, address declines in major categories with pricing changes, promotions, and other steps.</a:t>
          </a:r>
        </a:p>
        <a:p>
          <a:endParaRPr lang="en-US" sz="1200">
            <a:latin typeface="Aptos" panose="020B0004020202020204" pitchFamily="34" charset="0"/>
          </a:endParaRPr>
        </a:p>
        <a:p>
          <a:endParaRPr lang="en-US" sz="1200">
            <a:latin typeface="Aptos" panose="020B00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600073</xdr:colOff>
      <xdr:row>0</xdr:row>
      <xdr:rowOff>1</xdr:rowOff>
    </xdr:from>
    <xdr:to>
      <xdr:col>12</xdr:col>
      <xdr:colOff>581025</xdr:colOff>
      <xdr:row>21</xdr:row>
      <xdr:rowOff>28576</xdr:rowOff>
    </xdr:to>
    <xdr:graphicFrame macro="">
      <xdr:nvGraphicFramePr>
        <xdr:cNvPr id="2" name="Chart 1">
          <a:extLst>
            <a:ext uri="{FF2B5EF4-FFF2-40B4-BE49-F238E27FC236}">
              <a16:creationId xmlns:a16="http://schemas.microsoft.com/office/drawing/2014/main" id="{5C3A572E-CC5E-9B3E-02E3-A09A8B09D4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19050</xdr:colOff>
      <xdr:row>0</xdr:row>
      <xdr:rowOff>0</xdr:rowOff>
    </xdr:from>
    <xdr:to>
      <xdr:col>12</xdr:col>
      <xdr:colOff>581025</xdr:colOff>
      <xdr:row>22</xdr:row>
      <xdr:rowOff>38100</xdr:rowOff>
    </xdr:to>
    <xdr:graphicFrame macro="">
      <xdr:nvGraphicFramePr>
        <xdr:cNvPr id="2" name="Chart 1">
          <a:extLst>
            <a:ext uri="{FF2B5EF4-FFF2-40B4-BE49-F238E27FC236}">
              <a16:creationId xmlns:a16="http://schemas.microsoft.com/office/drawing/2014/main" id="{98B96407-5EB5-1336-F6B8-5BB43A2DCC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6352</xdr:colOff>
      <xdr:row>0</xdr:row>
      <xdr:rowOff>0</xdr:rowOff>
    </xdr:from>
    <xdr:to>
      <xdr:col>13</xdr:col>
      <xdr:colOff>590550</xdr:colOff>
      <xdr:row>22</xdr:row>
      <xdr:rowOff>76200</xdr:rowOff>
    </xdr:to>
    <xdr:graphicFrame macro="">
      <xdr:nvGraphicFramePr>
        <xdr:cNvPr id="2" name="Chart 1">
          <a:extLst>
            <a:ext uri="{FF2B5EF4-FFF2-40B4-BE49-F238E27FC236}">
              <a16:creationId xmlns:a16="http://schemas.microsoft.com/office/drawing/2014/main" id="{5F5E0914-9D93-23F7-F0E0-C562F9538B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12697</xdr:colOff>
      <xdr:row>0</xdr:row>
      <xdr:rowOff>0</xdr:rowOff>
    </xdr:from>
    <xdr:to>
      <xdr:col>13</xdr:col>
      <xdr:colOff>85724</xdr:colOff>
      <xdr:row>30</xdr:row>
      <xdr:rowOff>31749</xdr:rowOff>
    </xdr:to>
    <xdr:graphicFrame macro="">
      <xdr:nvGraphicFramePr>
        <xdr:cNvPr id="2" name="Chart 1">
          <a:extLst>
            <a:ext uri="{FF2B5EF4-FFF2-40B4-BE49-F238E27FC236}">
              <a16:creationId xmlns:a16="http://schemas.microsoft.com/office/drawing/2014/main" id="{05CDED78-13E5-D9D8-2684-E74821376C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9523</xdr:colOff>
      <xdr:row>0</xdr:row>
      <xdr:rowOff>0</xdr:rowOff>
    </xdr:from>
    <xdr:to>
      <xdr:col>16</xdr:col>
      <xdr:colOff>161924</xdr:colOff>
      <xdr:row>24</xdr:row>
      <xdr:rowOff>101600</xdr:rowOff>
    </xdr:to>
    <xdr:graphicFrame macro="">
      <xdr:nvGraphicFramePr>
        <xdr:cNvPr id="2" name="Chart 1">
          <a:extLst>
            <a:ext uri="{FF2B5EF4-FFF2-40B4-BE49-F238E27FC236}">
              <a16:creationId xmlns:a16="http://schemas.microsoft.com/office/drawing/2014/main" id="{CDBD6E51-0197-C466-9ADA-C3341C6C53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enza santarin" refreshedDate="46138.06813310185" createdVersion="8" refreshedVersion="8" minRefreshableVersion="3" recordCount="8" xr:uid="{72524C69-61DC-4F26-81C6-15D1BADEEE3C}">
  <cacheSource type="worksheet">
    <worksheetSource name="Table1"/>
  </cacheSource>
  <cacheFields count="5">
    <cacheField name="CategoryName" numFmtId="0">
      <sharedItems count="8">
        <s v="Grains/Cereals"/>
        <s v="Produce"/>
        <s v="Condiments"/>
        <s v="Seafood"/>
        <s v="Confections"/>
        <s v="Meat/Poultry"/>
        <s v="Dairy Products"/>
        <s v="Beverages"/>
      </sharedItems>
    </cacheField>
    <cacheField name="Total_Revenue" numFmtId="44">
      <sharedItems containsSemiMixedTypes="0" containsString="0" containsNumber="1" minValue="1067931.6399999999" maxValue="1253731.79"/>
    </cacheField>
    <cacheField name="Total_Orders" numFmtId="0">
      <sharedItems containsSemiMixedTypes="0" containsString="0" containsNumber="1" containsInteger="1" minValue="788" maxValue="822"/>
    </cacheField>
    <cacheField name="Average_Order_Value" numFmtId="164">
      <sharedItems containsSemiMixedTypes="0" containsString="0" containsNumber="1" minValue="593.47618063000004" maxValue="664.56739726000001"/>
    </cacheField>
    <cacheField name="Total_Units_Sold" numFmtId="0">
      <sharedItems containsSemiMixedTypes="0" containsString="0" containsNumber="1" containsInteger="1" minValue="41785" maxValue="4832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enza santarin" refreshedDate="46138.070273032405" createdVersion="8" refreshedVersion="8" minRefreshableVersion="3" recordCount="23" xr:uid="{91E371F9-FFC5-45B1-826C-4886BC3F54E8}">
  <cacheSource type="worksheet">
    <worksheetSource name="Table2"/>
  </cacheSource>
  <cacheFields count="5">
    <cacheField name="Year" numFmtId="0">
      <sharedItems containsSemiMixedTypes="0" containsString="0" containsNumber="1" containsInteger="1" minValue="1996" maxValue="1998" count="3">
        <n v="1996"/>
        <n v="1997"/>
        <n v="1998"/>
      </sharedItems>
    </cacheField>
    <cacheField name="Month" numFmtId="0">
      <sharedItems containsSemiMixedTypes="0" containsString="0" containsNumber="1" containsInteger="1" minValue="1" maxValue="12" count="12">
        <n v="7"/>
        <n v="8"/>
        <n v="9"/>
        <n v="10"/>
        <n v="11"/>
        <n v="12"/>
        <n v="1"/>
        <n v="2"/>
        <n v="3"/>
        <n v="4"/>
        <n v="5"/>
        <n v="6"/>
      </sharedItems>
    </cacheField>
    <cacheField name="MonthName" numFmtId="0">
      <sharedItems count="12">
        <s v="Jul"/>
        <s v="Aug"/>
        <s v="Sep"/>
        <s v="Oct"/>
        <s v="Nov"/>
        <s v="Dec"/>
        <s v="Jan"/>
        <s v="Feb"/>
        <s v="Mar"/>
        <s v="Apr"/>
        <s v="May"/>
        <s v="Jun"/>
      </sharedItems>
    </cacheField>
    <cacheField name="Total_Revenue" numFmtId="164">
      <sharedItems containsSemiMixedTypes="0" containsString="0" containsNumber="1" minValue="19898.66" maxValue="134630.56"/>
    </cacheField>
    <cacheField name="Num_Orders" numFmtId="0">
      <sharedItems containsSemiMixedTypes="0" containsString="0" containsNumber="1" containsInteger="1" minValue="14" maxValue="74"/>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enza santarin" refreshedDate="46138.084821759257" createdVersion="8" refreshedVersion="8" minRefreshableVersion="3" recordCount="9" xr:uid="{D1647292-FBCB-4F3F-A5F6-DF800B2B4B67}">
  <cacheSource type="worksheet">
    <worksheetSource name="Table3"/>
  </cacheSource>
  <cacheFields count="6">
    <cacheField name="Employee" numFmtId="0">
      <sharedItems count="9">
        <s v="Margaret Peacock"/>
        <s v="Janet Leverling"/>
        <s v="Nancy Davolio"/>
        <s v="Andrew Fuller"/>
        <s v="Robert King"/>
        <s v="Laura Callahan"/>
        <s v="Anne Dodsworth"/>
        <s v="Michael Suyama"/>
        <s v="Steven Buchanan"/>
      </sharedItems>
    </cacheField>
    <cacheField name="Total_Revenue" numFmtId="164">
      <sharedItems containsSemiMixedTypes="0" containsString="0" containsNumber="1" minValue="75567.75" maxValue="250187.45"/>
    </cacheField>
    <cacheField name="Orders_Handled" numFmtId="0">
      <sharedItems containsSemiMixedTypes="0" containsString="0" containsNumber="1" containsInteger="1" minValue="42" maxValue="156"/>
    </cacheField>
    <cacheField name="AVG_Revenue_per_Order" numFmtId="164">
      <sharedItems containsSemiMixedTypes="0" containsString="0" containsNumber="1" minValue="465.46488095000001" maxValue="802.81812500000001"/>
    </cacheField>
    <cacheField name="Min_Order_Value" numFmtId="164">
      <sharedItems containsSemiMixedTypes="0" containsString="0" containsNumber="1" minValue="4.8" maxValue="27"/>
    </cacheField>
    <cacheField name="Max_Order_Value" numFmtId="164">
      <sharedItems containsSemiMixedTypes="0" containsString="0" containsNumber="1" minValue="2700" maxValue="1581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enza santarin" refreshedDate="46138.093905208334" createdVersion="8" refreshedVersion="8" minRefreshableVersion="3" recordCount="10" xr:uid="{BF4D6132-2131-4A86-B2C0-A2817FEE4090}">
  <cacheSource type="worksheet">
    <worksheetSource name="Table4"/>
  </cacheSource>
  <cacheFields count="5">
    <cacheField name="ShipCountry" numFmtId="0">
      <sharedItems count="10">
        <s v="USA"/>
        <s v="Germany"/>
        <s v="Austria"/>
        <s v="Brazil"/>
        <s v="France"/>
        <s v="Venezuela"/>
        <s v="UK"/>
        <s v="Sweden"/>
        <s v="Ireland"/>
        <s v="Canada"/>
      </sharedItems>
    </cacheField>
    <cacheField name="Total_Revenue" numFmtId="164">
      <sharedItems containsSemiMixedTypes="0" containsString="0" containsNumber="1" minValue="55334.1" maxValue="263566.98"/>
    </cacheField>
    <cacheField name="Num_Orders" numFmtId="0">
      <sharedItems containsSemiMixedTypes="0" containsString="0" containsNumber="1" containsInteger="1" minValue="19" maxValue="122"/>
    </cacheField>
    <cacheField name="Avg_Freight" numFmtId="164">
      <sharedItems containsSemiMixedTypes="0" containsString="0" containsNumber="1" minValue="62.892814809999997" maxValue="221.85151999999999"/>
    </cacheField>
    <cacheField name="Total_Freight_Cost" numFmtId="164">
      <sharedItems containsSemiMixedTypes="0" containsString="0" containsNumber="1" minValue="6321.9" maxValue="46165.82"/>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enza santarin" refreshedDate="46138.110782523145" createdVersion="8" refreshedVersion="8" minRefreshableVersion="3" recordCount="8" xr:uid="{54BA20D3-AA18-422B-872A-71F2E8D03958}">
  <cacheSource type="worksheet">
    <worksheetSource name="Table5"/>
  </cacheSource>
  <cacheFields count="5">
    <cacheField name="CategoryName" numFmtId="0">
      <sharedItems count="8">
        <s v="Beverages"/>
        <s v="Dairy Products"/>
        <s v="Meat/Poultry"/>
        <s v="Confections"/>
        <s v="Seafood"/>
        <s v="Condiments"/>
        <s v="Produce"/>
        <s v="Grains/Cereals"/>
      </sharedItems>
    </cacheField>
    <cacheField name="Revenue_1997" numFmtId="164">
      <sharedItems containsSemiMixedTypes="0" containsString="0" containsNumber="1" minValue="57718.55" maxValue="123910.8"/>
    </cacheField>
    <cacheField name="Revenue_1998" numFmtId="164">
      <sharedItems containsSemiMixedTypes="0" containsString="0" containsNumber="1" minValue="30422.25" maxValue="122223.75"/>
    </cacheField>
    <cacheField name="Total_Revenue" numFmtId="164">
      <sharedItems containsSemiMixedTypes="0" containsString="0" containsNumber="1" minValue="100726.8" maxValue="286526.95" count="8">
        <n v="286526.95"/>
        <n v="251330.5"/>
        <n v="178188.79999999999"/>
        <n v="177099.1"/>
        <n v="141623.09"/>
        <n v="113694.75"/>
        <n v="105268.6"/>
        <n v="100726.8"/>
      </sharedItems>
    </cacheField>
    <cacheField name="YoY_Growth_Pct" numFmtId="0">
      <sharedItems containsSemiMixedTypes="0" containsString="0" containsNumber="1" minValue="-49.7" maxValue="10.7" count="8">
        <n v="10.7"/>
        <n v="-33.200000000000003"/>
        <n v="-31.2"/>
        <n v="-33.1"/>
        <n v="-31.7"/>
        <n v="-42.1"/>
        <n v="-43.8"/>
        <n v="-49.7"/>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n v="1253731.79"/>
    <n v="814"/>
    <n v="639.98559980000005"/>
    <n v="46755"/>
  </r>
  <r>
    <x v="1"/>
    <n v="1249189.99"/>
    <n v="822"/>
    <n v="618.71718177000002"/>
    <n v="48327"/>
  </r>
  <r>
    <x v="2"/>
    <n v="1240763.8400000001"/>
    <n v="815"/>
    <n v="639.89883444999998"/>
    <n v="46019"/>
  </r>
  <r>
    <x v="3"/>
    <n v="1212835.5"/>
    <n v="799"/>
    <n v="664.56739726000001"/>
    <n v="43636"/>
  </r>
  <r>
    <x v="4"/>
    <n v="1177359.49"/>
    <n v="803"/>
    <n v="646.54557385999999"/>
    <n v="43411"/>
  </r>
  <r>
    <x v="5"/>
    <n v="1176269.79"/>
    <n v="821"/>
    <n v="593.47618063000004"/>
    <n v="47118"/>
  </r>
  <r>
    <x v="6"/>
    <n v="1103128.0900000001"/>
    <n v="788"/>
    <n v="616.61715484000001"/>
    <n v="42168"/>
  </r>
  <r>
    <x v="7"/>
    <n v="1067931.6399999999"/>
    <n v="799"/>
    <n v="609.89813820999996"/>
    <n v="4178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
  <r>
    <x v="0"/>
    <x v="0"/>
    <x v="0"/>
    <n v="30192.1"/>
    <n v="22"/>
  </r>
  <r>
    <x v="0"/>
    <x v="1"/>
    <x v="1"/>
    <n v="26609.4"/>
    <n v="25"/>
  </r>
  <r>
    <x v="0"/>
    <x v="2"/>
    <x v="2"/>
    <n v="27636"/>
    <n v="23"/>
  </r>
  <r>
    <x v="0"/>
    <x v="3"/>
    <x v="3"/>
    <n v="41203.599999999999"/>
    <n v="26"/>
  </r>
  <r>
    <x v="0"/>
    <x v="4"/>
    <x v="4"/>
    <n v="49704"/>
    <n v="25"/>
  </r>
  <r>
    <x v="0"/>
    <x v="5"/>
    <x v="5"/>
    <n v="50953.4"/>
    <n v="31"/>
  </r>
  <r>
    <x v="1"/>
    <x v="6"/>
    <x v="6"/>
    <n v="66692.800000000003"/>
    <n v="33"/>
  </r>
  <r>
    <x v="1"/>
    <x v="7"/>
    <x v="7"/>
    <n v="41207.199999999997"/>
    <n v="29"/>
  </r>
  <r>
    <x v="1"/>
    <x v="8"/>
    <x v="8"/>
    <n v="39979.9"/>
    <n v="30"/>
  </r>
  <r>
    <x v="1"/>
    <x v="9"/>
    <x v="9"/>
    <n v="55699.39"/>
    <n v="31"/>
  </r>
  <r>
    <x v="1"/>
    <x v="10"/>
    <x v="10"/>
    <n v="56823.7"/>
    <n v="32"/>
  </r>
  <r>
    <x v="1"/>
    <x v="11"/>
    <x v="11"/>
    <n v="39088"/>
    <n v="30"/>
  </r>
  <r>
    <x v="1"/>
    <x v="0"/>
    <x v="0"/>
    <n v="55464.93"/>
    <n v="33"/>
  </r>
  <r>
    <x v="1"/>
    <x v="1"/>
    <x v="1"/>
    <n v="49981.69"/>
    <n v="33"/>
  </r>
  <r>
    <x v="1"/>
    <x v="2"/>
    <x v="2"/>
    <n v="59733.02"/>
    <n v="37"/>
  </r>
  <r>
    <x v="1"/>
    <x v="3"/>
    <x v="3"/>
    <n v="70328.5"/>
    <n v="38"/>
  </r>
  <r>
    <x v="1"/>
    <x v="4"/>
    <x v="4"/>
    <n v="45913.36"/>
    <n v="34"/>
  </r>
  <r>
    <x v="1"/>
    <x v="5"/>
    <x v="5"/>
    <n v="77476.259999999995"/>
    <n v="48"/>
  </r>
  <r>
    <x v="2"/>
    <x v="6"/>
    <x v="6"/>
    <n v="100854.72"/>
    <n v="55"/>
  </r>
  <r>
    <x v="2"/>
    <x v="7"/>
    <x v="7"/>
    <n v="104561.95"/>
    <n v="54"/>
  </r>
  <r>
    <x v="2"/>
    <x v="8"/>
    <x v="8"/>
    <n v="109825.45"/>
    <n v="73"/>
  </r>
  <r>
    <x v="2"/>
    <x v="9"/>
    <x v="9"/>
    <n v="134630.56"/>
    <n v="74"/>
  </r>
  <r>
    <x v="2"/>
    <x v="10"/>
    <x v="10"/>
    <n v="19898.66"/>
    <n v="1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x v="0"/>
    <n v="250187.45"/>
    <n v="156"/>
    <n v="595.68440476000001"/>
    <n v="7.3"/>
    <n v="10540"/>
  </r>
  <r>
    <x v="1"/>
    <n v="213051.3"/>
    <n v="127"/>
    <n v="663.71121495"/>
    <n v="9.6"/>
    <n v="9903.2000000000007"/>
  </r>
  <r>
    <x v="2"/>
    <n v="202143.71"/>
    <n v="123"/>
    <n v="585.9237971"/>
    <n v="10"/>
    <n v="15810"/>
  </r>
  <r>
    <x v="3"/>
    <n v="177749.26"/>
    <n v="96"/>
    <n v="737.54879668000001"/>
    <n v="4.8"/>
    <n v="15810"/>
  </r>
  <r>
    <x v="4"/>
    <n v="141295.99"/>
    <n v="72"/>
    <n v="802.81812500000001"/>
    <n v="16"/>
    <n v="10540"/>
  </r>
  <r>
    <x v="5"/>
    <n v="133301.03"/>
    <n v="104"/>
    <n v="512.69626922999998"/>
    <n v="13.5"/>
    <n v="2700"/>
  </r>
  <r>
    <x v="6"/>
    <n v="82964"/>
    <n v="43"/>
    <n v="775.36448598000004"/>
    <n v="12.5"/>
    <n v="10540"/>
  </r>
  <r>
    <x v="7"/>
    <n v="78198.100000000006"/>
    <n v="67"/>
    <n v="465.46488095000001"/>
    <n v="20"/>
    <n v="4456.4399999999996"/>
  </r>
  <r>
    <x v="8"/>
    <n v="75567.75"/>
    <n v="42"/>
    <n v="645.87820512999997"/>
    <n v="27"/>
    <n v="843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n v="263566.98"/>
    <n v="122"/>
    <n v="131.15289773000001"/>
    <n v="46165.82"/>
  </r>
  <r>
    <x v="1"/>
    <n v="244640.63"/>
    <n v="122"/>
    <n v="116.3742378"/>
    <n v="38170.75"/>
  </r>
  <r>
    <x v="2"/>
    <n v="139496.63"/>
    <n v="40"/>
    <n v="221.85151999999999"/>
    <n v="27731.439999999999"/>
  </r>
  <r>
    <x v="3"/>
    <n v="114968.48"/>
    <n v="83"/>
    <n v="71.837339900000003"/>
    <n v="14582.98"/>
  </r>
  <r>
    <x v="4"/>
    <n v="85498.76"/>
    <n v="77"/>
    <n v="68.622717390000005"/>
    <n v="12626.58"/>
  </r>
  <r>
    <x v="5"/>
    <n v="60814.89"/>
    <n v="46"/>
    <n v="66.715593220000002"/>
    <n v="7872.44"/>
  </r>
  <r>
    <x v="6"/>
    <n v="60616.51"/>
    <n v="56"/>
    <n v="62.892814809999997"/>
    <n v="8490.5300000000007"/>
  </r>
  <r>
    <x v="7"/>
    <n v="59523.7"/>
    <n v="37"/>
    <n v="104.59917526"/>
    <n v="10146.120000000001"/>
  </r>
  <r>
    <x v="8"/>
    <n v="57317.39"/>
    <n v="19"/>
    <n v="131.17254545"/>
    <n v="7214.49"/>
  </r>
  <r>
    <x v="9"/>
    <n v="55334.1"/>
    <n v="30"/>
    <n v="84.292000000000002"/>
    <n v="6321.9"/>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n v="110424"/>
    <n v="122223.75"/>
    <x v="0"/>
    <x v="0"/>
  </r>
  <r>
    <x v="1"/>
    <n v="123910.8"/>
    <n v="82803.899999999994"/>
    <x v="1"/>
    <x v="1"/>
  </r>
  <r>
    <x v="2"/>
    <n v="87621.03"/>
    <n v="60275.57"/>
    <x v="2"/>
    <x v="2"/>
  </r>
  <r>
    <x v="3"/>
    <n v="87227.77"/>
    <n v="58359.73"/>
    <x v="3"/>
    <x v="3"/>
  </r>
  <r>
    <x v="4"/>
    <n v="71320.649999999994"/>
    <n v="48712.84"/>
    <x v="4"/>
    <x v="4"/>
  </r>
  <r>
    <x v="5"/>
    <n v="59679"/>
    <n v="34557.449999999997"/>
    <x v="5"/>
    <x v="5"/>
  </r>
  <r>
    <x v="6"/>
    <n v="57718.55"/>
    <n v="32415.85"/>
    <x v="6"/>
    <x v="6"/>
  </r>
  <r>
    <x v="7"/>
    <n v="60486.95"/>
    <n v="30422.25"/>
    <x v="7"/>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85A9E9-3FE7-4902-8A02-94CB105B9F8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Categories">
  <location ref="A1:B10" firstHeaderRow="1" firstDataRow="1" firstDataCol="1"/>
  <pivotFields count="5">
    <pivotField axis="axisRow" showAll="0" sortType="ascending">
      <items count="9">
        <item x="7"/>
        <item x="2"/>
        <item x="4"/>
        <item x="6"/>
        <item x="0"/>
        <item x="5"/>
        <item x="1"/>
        <item x="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s>
  <rowFields count="1">
    <field x="0"/>
  </rowFields>
  <rowItems count="9">
    <i>
      <x/>
    </i>
    <i>
      <x v="3"/>
    </i>
    <i>
      <x v="5"/>
    </i>
    <i>
      <x v="2"/>
    </i>
    <i>
      <x v="7"/>
    </i>
    <i>
      <x v="1"/>
    </i>
    <i>
      <x v="6"/>
    </i>
    <i>
      <x v="4"/>
    </i>
    <i t="grand">
      <x/>
    </i>
  </rowItems>
  <colItems count="1">
    <i/>
  </colItems>
  <dataFields count="1">
    <dataField name="Total Revenue" fld="1" baseField="0" baseItem="0" numFmtId="164"/>
  </dataFields>
  <formats count="1">
    <format dxfId="0">
      <pivotArea outline="0" collapsedLevelsAreSubtotals="1" fieldPosition="0"/>
    </format>
  </formats>
  <chartFormats count="3">
    <chartFormat chart="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988726-709F-4326-AB23-1BDDBE893352}"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Month" colHeaderCaption="Year">
  <location ref="A1:C14" firstHeaderRow="1" firstDataRow="2" firstDataCol="1"/>
  <pivotFields count="5">
    <pivotField axis="axisCol" showAll="0">
      <items count="4">
        <item h="1" x="0"/>
        <item x="1"/>
        <item x="2"/>
        <item t="default"/>
      </items>
    </pivotField>
    <pivotField showAll="0">
      <items count="13">
        <item x="6"/>
        <item x="7"/>
        <item x="8"/>
        <item x="9"/>
        <item x="10"/>
        <item x="11"/>
        <item x="0"/>
        <item x="1"/>
        <item x="2"/>
        <item x="3"/>
        <item x="4"/>
        <item x="5"/>
        <item t="default"/>
      </items>
    </pivotField>
    <pivotField axis="axisRow" showAll="0">
      <items count="13">
        <item x="6"/>
        <item x="7"/>
        <item x="8"/>
        <item x="9"/>
        <item x="10"/>
        <item x="11"/>
        <item x="0"/>
        <item x="1"/>
        <item x="2"/>
        <item x="3"/>
        <item x="4"/>
        <item x="5"/>
        <item t="default"/>
      </items>
    </pivotField>
    <pivotField dataField="1" numFmtId="164" showAll="0"/>
    <pivotField showAll="0"/>
  </pivotFields>
  <rowFields count="1">
    <field x="2"/>
  </rowFields>
  <rowItems count="12">
    <i>
      <x/>
    </i>
    <i>
      <x v="1"/>
    </i>
    <i>
      <x v="2"/>
    </i>
    <i>
      <x v="3"/>
    </i>
    <i>
      <x v="4"/>
    </i>
    <i>
      <x v="5"/>
    </i>
    <i>
      <x v="6"/>
    </i>
    <i>
      <x v="7"/>
    </i>
    <i>
      <x v="8"/>
    </i>
    <i>
      <x v="9"/>
    </i>
    <i>
      <x v="10"/>
    </i>
    <i>
      <x v="11"/>
    </i>
  </rowItems>
  <colFields count="1">
    <field x="0"/>
  </colFields>
  <colItems count="2">
    <i>
      <x v="1"/>
    </i>
    <i>
      <x v="2"/>
    </i>
  </colItems>
  <dataFields count="1">
    <dataField name="Total Revenue" fld="3" baseField="2" baseItem="0" numFmtId="164"/>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5" format="5" series="1">
      <pivotArea type="data" outline="0" fieldPosition="0">
        <references count="2">
          <reference field="4294967294" count="1" selected="0">
            <x v="0"/>
          </reference>
          <reference field="0" count="1" selected="0">
            <x v="1"/>
          </reference>
        </references>
      </pivotArea>
    </chartFormat>
    <chartFormat chart="5" format="6" series="1">
      <pivotArea type="data" outline="0" fieldPosition="0">
        <references count="2">
          <reference field="4294967294" count="1" selected="0">
            <x v="0"/>
          </reference>
          <reference field="0" count="1" selected="0">
            <x v="2"/>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1182ACC-0CB1-48EA-9589-A11E9325C940}" name="PivotTable3"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rowHeaderCaption="Employee">
  <location ref="A1:C10" firstHeaderRow="0" firstDataRow="1" firstDataCol="1"/>
  <pivotFields count="6">
    <pivotField axis="axisRow" showAll="0" sortType="descending">
      <items count="10">
        <item x="3"/>
        <item x="6"/>
        <item x="1"/>
        <item x="5"/>
        <item x="0"/>
        <item x="7"/>
        <item x="2"/>
        <item x="4"/>
        <item x="8"/>
        <item t="default"/>
      </items>
      <autoSortScope>
        <pivotArea dataOnly="0" outline="0" fieldPosition="0">
          <references count="1">
            <reference field="4294967294" count="1" selected="0">
              <x v="0"/>
            </reference>
          </references>
        </pivotArea>
      </autoSortScope>
    </pivotField>
    <pivotField dataField="1" numFmtId="164" showAll="0"/>
    <pivotField dataField="1" showAll="0"/>
    <pivotField numFmtId="164" showAll="0"/>
    <pivotField numFmtId="164" showAll="0"/>
    <pivotField numFmtId="164" showAll="0"/>
  </pivotFields>
  <rowFields count="1">
    <field x="0"/>
  </rowFields>
  <rowItems count="9">
    <i>
      <x v="4"/>
    </i>
    <i>
      <x v="2"/>
    </i>
    <i>
      <x v="6"/>
    </i>
    <i>
      <x/>
    </i>
    <i>
      <x v="7"/>
    </i>
    <i>
      <x v="3"/>
    </i>
    <i>
      <x v="1"/>
    </i>
    <i>
      <x v="5"/>
    </i>
    <i>
      <x v="8"/>
    </i>
  </rowItems>
  <colFields count="1">
    <field x="-2"/>
  </colFields>
  <colItems count="2">
    <i>
      <x/>
    </i>
    <i i="1">
      <x v="1"/>
    </i>
  </colItems>
  <dataFields count="2">
    <dataField name="Total Revenue" fld="1" baseField="0" baseItem="4" numFmtId="164"/>
    <dataField name="Orders Handled" fld="2" baseField="0" baseItem="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6C6734-0650-43F8-9439-E3AED69582FF}" name="PivotTable4"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Country">
  <location ref="A1:B11" firstHeaderRow="1" firstDataRow="1" firstDataCol="1"/>
  <pivotFields count="5">
    <pivotField axis="axisRow" showAll="0" sortType="descending">
      <items count="11">
        <item x="2"/>
        <item x="3"/>
        <item x="9"/>
        <item x="4"/>
        <item x="1"/>
        <item x="8"/>
        <item x="7"/>
        <item x="6"/>
        <item x="0"/>
        <item x="5"/>
        <item t="default"/>
      </items>
      <autoSortScope>
        <pivotArea dataOnly="0" outline="0" fieldPosition="0">
          <references count="1">
            <reference field="4294967294" count="1" selected="0">
              <x v="0"/>
            </reference>
          </references>
        </pivotArea>
      </autoSortScope>
    </pivotField>
    <pivotField dataField="1" numFmtId="164" showAll="0"/>
    <pivotField showAll="0"/>
    <pivotField numFmtId="164" showAll="0"/>
    <pivotField numFmtId="164" showAll="0"/>
  </pivotFields>
  <rowFields count="1">
    <field x="0"/>
  </rowFields>
  <rowItems count="10">
    <i>
      <x v="8"/>
    </i>
    <i>
      <x v="4"/>
    </i>
    <i>
      <x/>
    </i>
    <i>
      <x v="1"/>
    </i>
    <i>
      <x v="3"/>
    </i>
    <i>
      <x v="9"/>
    </i>
    <i>
      <x v="7"/>
    </i>
    <i>
      <x v="6"/>
    </i>
    <i>
      <x v="5"/>
    </i>
    <i>
      <x v="2"/>
    </i>
  </rowItems>
  <colItems count="1">
    <i/>
  </colItems>
  <dataFields count="1">
    <dataField name="Total Revenue" fld="1" baseField="0" baseItem="8" numFmtId="164"/>
  </dataFields>
  <chartFormats count="2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8"/>
          </reference>
        </references>
      </pivotArea>
    </chartFormat>
    <chartFormat chart="0" format="2">
      <pivotArea type="data" outline="0" fieldPosition="0">
        <references count="2">
          <reference field="4294967294" count="1" selected="0">
            <x v="0"/>
          </reference>
          <reference field="0" count="1" selected="0">
            <x v="2"/>
          </reference>
        </references>
      </pivotArea>
    </chartFormat>
    <chartFormat chart="0" format="3">
      <pivotArea type="data" outline="0" fieldPosition="0">
        <references count="2">
          <reference field="4294967294" count="1" selected="0">
            <x v="0"/>
          </reference>
          <reference field="0" count="1" selected="0">
            <x v="6"/>
          </reference>
        </references>
      </pivotArea>
    </chartFormat>
    <chartFormat chart="0" format="4">
      <pivotArea type="data" outline="0" fieldPosition="0">
        <references count="2">
          <reference field="4294967294" count="1" selected="0">
            <x v="0"/>
          </reference>
          <reference field="0" count="1" selected="0">
            <x v="9"/>
          </reference>
        </references>
      </pivotArea>
    </chartFormat>
    <chartFormat chart="0" format="5">
      <pivotArea type="data" outline="0" fieldPosition="0">
        <references count="2">
          <reference field="4294967294" count="1" selected="0">
            <x v="0"/>
          </reference>
          <reference field="0" count="1" selected="0">
            <x v="3"/>
          </reference>
        </references>
      </pivotArea>
    </chartFormat>
    <chartFormat chart="0" format="6">
      <pivotArea type="data" outline="0" fieldPosition="0">
        <references count="2">
          <reference field="4294967294" count="1" selected="0">
            <x v="0"/>
          </reference>
          <reference field="0" count="1" selected="0">
            <x v="1"/>
          </reference>
        </references>
      </pivotArea>
    </chartFormat>
    <chartFormat chart="0" format="7">
      <pivotArea type="data" outline="0" fieldPosition="0">
        <references count="2">
          <reference field="4294967294" count="1" selected="0">
            <x v="0"/>
          </reference>
          <reference field="0" count="1" selected="0">
            <x v="4"/>
          </reference>
        </references>
      </pivotArea>
    </chartFormat>
    <chartFormat chart="0" format="8">
      <pivotArea type="data" outline="0" fieldPosition="0">
        <references count="2">
          <reference field="4294967294" count="1" selected="0">
            <x v="0"/>
          </reference>
          <reference field="0" count="1" selected="0">
            <x v="0"/>
          </reference>
        </references>
      </pivotArea>
    </chartFormat>
    <chartFormat chart="0" format="9">
      <pivotArea type="data" outline="0" fieldPosition="0">
        <references count="2">
          <reference field="4294967294" count="1" selected="0">
            <x v="0"/>
          </reference>
          <reference field="0" count="1" selected="0">
            <x v="5"/>
          </reference>
        </references>
      </pivotArea>
    </chartFormat>
    <chartFormat chart="0" format="10">
      <pivotArea type="data" outline="0" fieldPosition="0">
        <references count="2">
          <reference field="4294967294" count="1" selected="0">
            <x v="0"/>
          </reference>
          <reference field="0" count="1" selected="0">
            <x v="7"/>
          </reference>
        </references>
      </pivotArea>
    </chartFormat>
    <chartFormat chart="6" format="22" series="1">
      <pivotArea type="data" outline="0" fieldPosition="0">
        <references count="1">
          <reference field="4294967294" count="1" selected="0">
            <x v="0"/>
          </reference>
        </references>
      </pivotArea>
    </chartFormat>
    <chartFormat chart="6" format="23">
      <pivotArea type="data" outline="0" fieldPosition="0">
        <references count="2">
          <reference field="4294967294" count="1" selected="0">
            <x v="0"/>
          </reference>
          <reference field="0" count="1" selected="0">
            <x v="8"/>
          </reference>
        </references>
      </pivotArea>
    </chartFormat>
    <chartFormat chart="6" format="24">
      <pivotArea type="data" outline="0" fieldPosition="0">
        <references count="2">
          <reference field="4294967294" count="1" selected="0">
            <x v="0"/>
          </reference>
          <reference field="0" count="1" selected="0">
            <x v="4"/>
          </reference>
        </references>
      </pivotArea>
    </chartFormat>
    <chartFormat chart="6" format="25">
      <pivotArea type="data" outline="0" fieldPosition="0">
        <references count="2">
          <reference field="4294967294" count="1" selected="0">
            <x v="0"/>
          </reference>
          <reference field="0" count="1" selected="0">
            <x v="0"/>
          </reference>
        </references>
      </pivotArea>
    </chartFormat>
    <chartFormat chart="6" format="26">
      <pivotArea type="data" outline="0" fieldPosition="0">
        <references count="2">
          <reference field="4294967294" count="1" selected="0">
            <x v="0"/>
          </reference>
          <reference field="0" count="1" selected="0">
            <x v="1"/>
          </reference>
        </references>
      </pivotArea>
    </chartFormat>
    <chartFormat chart="6" format="27">
      <pivotArea type="data" outline="0" fieldPosition="0">
        <references count="2">
          <reference field="4294967294" count="1" selected="0">
            <x v="0"/>
          </reference>
          <reference field="0" count="1" selected="0">
            <x v="3"/>
          </reference>
        </references>
      </pivotArea>
    </chartFormat>
    <chartFormat chart="6" format="28">
      <pivotArea type="data" outline="0" fieldPosition="0">
        <references count="2">
          <reference field="4294967294" count="1" selected="0">
            <x v="0"/>
          </reference>
          <reference field="0" count="1" selected="0">
            <x v="9"/>
          </reference>
        </references>
      </pivotArea>
    </chartFormat>
    <chartFormat chart="6" format="29">
      <pivotArea type="data" outline="0" fieldPosition="0">
        <references count="2">
          <reference field="4294967294" count="1" selected="0">
            <x v="0"/>
          </reference>
          <reference field="0" count="1" selected="0">
            <x v="7"/>
          </reference>
        </references>
      </pivotArea>
    </chartFormat>
    <chartFormat chart="6" format="30">
      <pivotArea type="data" outline="0" fieldPosition="0">
        <references count="2">
          <reference field="4294967294" count="1" selected="0">
            <x v="0"/>
          </reference>
          <reference field="0" count="1" selected="0">
            <x v="6"/>
          </reference>
        </references>
      </pivotArea>
    </chartFormat>
    <chartFormat chart="6" format="31">
      <pivotArea type="data" outline="0" fieldPosition="0">
        <references count="2">
          <reference field="4294967294" count="1" selected="0">
            <x v="0"/>
          </reference>
          <reference field="0" count="1" selected="0">
            <x v="5"/>
          </reference>
        </references>
      </pivotArea>
    </chartFormat>
    <chartFormat chart="6" format="32">
      <pivotArea type="data" outline="0" fieldPosition="0">
        <references count="2">
          <reference field="4294967294" count="1" selected="0">
            <x v="0"/>
          </reference>
          <reference field="0" count="1" selected="0">
            <x v="2"/>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F444ABA-B7D7-4568-935A-E9FF1058D467}" name="PivotTable5"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Category">
  <location ref="A1:C17" firstHeaderRow="0" firstDataRow="1" firstDataCol="1"/>
  <pivotFields count="5">
    <pivotField axis="axisRow" showAll="0" sortType="descending">
      <items count="9">
        <item x="0"/>
        <item x="5"/>
        <item x="3"/>
        <item x="1"/>
        <item n="Grains/_x000a_Cereals" x="7"/>
        <item n="Meat/_x000a_Poultry" x="2"/>
        <item x="6"/>
        <item x="4"/>
        <item t="default"/>
      </items>
      <autoSortScope>
        <pivotArea dataOnly="0" outline="0" fieldPosition="0">
          <references count="1">
            <reference field="4294967294" count="1" selected="0">
              <x v="0"/>
            </reference>
          </references>
        </pivotArea>
      </autoSortScope>
    </pivotField>
    <pivotField dataField="1" numFmtId="164" showAll="0"/>
    <pivotField dataField="1" numFmtId="164" showAll="0"/>
    <pivotField numFmtId="164" showAll="0"/>
    <pivotField axis="axisRow" showAll="0">
      <items count="9">
        <item x="7"/>
        <item x="6"/>
        <item x="5"/>
        <item x="1"/>
        <item x="3"/>
        <item x="4"/>
        <item x="2"/>
        <item x="0"/>
        <item t="default"/>
      </items>
    </pivotField>
  </pivotFields>
  <rowFields count="2">
    <field x="4"/>
    <field x="0"/>
  </rowFields>
  <rowItems count="16">
    <i>
      <x/>
    </i>
    <i r="1">
      <x v="4"/>
    </i>
    <i>
      <x v="1"/>
    </i>
    <i r="1">
      <x v="6"/>
    </i>
    <i>
      <x v="2"/>
    </i>
    <i r="1">
      <x v="1"/>
    </i>
    <i>
      <x v="3"/>
    </i>
    <i r="1">
      <x v="3"/>
    </i>
    <i>
      <x v="4"/>
    </i>
    <i r="1">
      <x v="2"/>
    </i>
    <i>
      <x v="5"/>
    </i>
    <i r="1">
      <x v="7"/>
    </i>
    <i>
      <x v="6"/>
    </i>
    <i r="1">
      <x v="5"/>
    </i>
    <i>
      <x v="7"/>
    </i>
    <i r="1">
      <x/>
    </i>
  </rowItems>
  <colFields count="1">
    <field x="-2"/>
  </colFields>
  <colItems count="2">
    <i>
      <x/>
    </i>
    <i i="1">
      <x v="1"/>
    </i>
  </colItems>
  <dataFields count="2">
    <dataField name="1997 Revenue" fld="1" baseField="0" baseItem="0" numFmtId="164"/>
    <dataField name="1998 Revenue" fld="2" baseField="0" baseItem="0" numFmtId="164"/>
  </dataFields>
  <chartFormats count="2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0" format="4" series="1">
      <pivotArea type="data" outline="0" fieldPosition="0">
        <references count="2">
          <reference field="4294967294" count="1" selected="0">
            <x v="0"/>
          </reference>
          <reference field="4" count="1" selected="0">
            <x v="4"/>
          </reference>
        </references>
      </pivotArea>
    </chartFormat>
    <chartFormat chart="0" format="5" series="1">
      <pivotArea type="data" outline="0" fieldPosition="0">
        <references count="2">
          <reference field="4294967294" count="1" selected="0">
            <x v="0"/>
          </reference>
          <reference field="4" count="1" selected="0">
            <x v="5"/>
          </reference>
        </references>
      </pivotArea>
    </chartFormat>
    <chartFormat chart="0" format="6" series="1">
      <pivotArea type="data" outline="0" fieldPosition="0">
        <references count="2">
          <reference field="4294967294" count="1" selected="0">
            <x v="0"/>
          </reference>
          <reference field="4" count="1" selected="0">
            <x v="6"/>
          </reference>
        </references>
      </pivotArea>
    </chartFormat>
    <chartFormat chart="0" format="7" series="1">
      <pivotArea type="data" outline="0" fieldPosition="0">
        <references count="2">
          <reference field="4294967294" count="1" selected="0">
            <x v="0"/>
          </reference>
          <reference field="4" count="1" selected="0">
            <x v="7"/>
          </reference>
        </references>
      </pivotArea>
    </chartFormat>
    <chartFormat chart="0" format="8" series="1">
      <pivotArea type="data" outline="0" fieldPosition="0">
        <references count="2">
          <reference field="4294967294" count="1" selected="0">
            <x v="1"/>
          </reference>
          <reference field="4" count="1" selected="0">
            <x v="0"/>
          </reference>
        </references>
      </pivotArea>
    </chartFormat>
    <chartFormat chart="0" format="9" series="1">
      <pivotArea type="data" outline="0" fieldPosition="0">
        <references count="2">
          <reference field="4294967294" count="1" selected="0">
            <x v="1"/>
          </reference>
          <reference field="4" count="1" selected="0">
            <x v="1"/>
          </reference>
        </references>
      </pivotArea>
    </chartFormat>
    <chartFormat chart="0" format="10" series="1">
      <pivotArea type="data" outline="0" fieldPosition="0">
        <references count="2">
          <reference field="4294967294" count="1" selected="0">
            <x v="1"/>
          </reference>
          <reference field="4" count="1" selected="0">
            <x v="2"/>
          </reference>
        </references>
      </pivotArea>
    </chartFormat>
    <chartFormat chart="0" format="11" series="1">
      <pivotArea type="data" outline="0" fieldPosition="0">
        <references count="2">
          <reference field="4294967294" count="1" selected="0">
            <x v="1"/>
          </reference>
          <reference field="4" count="1" selected="0">
            <x v="3"/>
          </reference>
        </references>
      </pivotArea>
    </chartFormat>
    <chartFormat chart="0" format="12" series="1">
      <pivotArea type="data" outline="0" fieldPosition="0">
        <references count="2">
          <reference field="4294967294" count="1" selected="0">
            <x v="1"/>
          </reference>
          <reference field="4" count="1" selected="0">
            <x v="4"/>
          </reference>
        </references>
      </pivotArea>
    </chartFormat>
    <chartFormat chart="0" format="13" series="1">
      <pivotArea type="data" outline="0" fieldPosition="0">
        <references count="2">
          <reference field="4294967294" count="1" selected="0">
            <x v="1"/>
          </reference>
          <reference field="4" count="1" selected="0">
            <x v="5"/>
          </reference>
        </references>
      </pivotArea>
    </chartFormat>
    <chartFormat chart="0" format="14" series="1">
      <pivotArea type="data" outline="0" fieldPosition="0">
        <references count="2">
          <reference field="4294967294" count="1" selected="0">
            <x v="1"/>
          </reference>
          <reference field="4" count="1" selected="0">
            <x v="6"/>
          </reference>
        </references>
      </pivotArea>
    </chartFormat>
    <chartFormat chart="0" format="15" series="1">
      <pivotArea type="data" outline="0" fieldPosition="0">
        <references count="2">
          <reference field="4294967294" count="1" selected="0">
            <x v="1"/>
          </reference>
          <reference field="4" count="1" selected="0">
            <x v="7"/>
          </reference>
        </references>
      </pivotArea>
    </chartFormat>
    <chartFormat chart="0" format="16" series="1">
      <pivotArea type="data" outline="0" fieldPosition="0">
        <references count="2">
          <reference field="4294967294" count="1" selected="0">
            <x v="0"/>
          </reference>
          <reference field="4" count="1" selected="0">
            <x v="0"/>
          </reference>
        </references>
      </pivotArea>
    </chartFormat>
    <chartFormat chart="0" format="17" series="1">
      <pivotArea type="data" outline="0" fieldPosition="0">
        <references count="2">
          <reference field="4294967294" count="1" selected="0">
            <x v="0"/>
          </reference>
          <reference field="4" count="1" selected="0">
            <x v="1"/>
          </reference>
        </references>
      </pivotArea>
    </chartFormat>
    <chartFormat chart="5" format="20" series="1">
      <pivotArea type="data" outline="0" fieldPosition="0">
        <references count="1">
          <reference field="4294967294" count="1" selected="0">
            <x v="0"/>
          </reference>
        </references>
      </pivotArea>
    </chartFormat>
    <chartFormat chart="5" format="21" series="1">
      <pivotArea type="data" outline="0" fieldPosition="0">
        <references count="1">
          <reference field="4294967294" count="1" selected="0">
            <x v="1"/>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1D4C6B-C160-4AA2-AC63-E4796E57197C}" name="Table1" displayName="Table1" ref="A2:E10" totalsRowShown="0">
  <autoFilter ref="A2:E10" xr:uid="{9C1D4C6B-C160-4AA2-AC63-E4796E57197C}"/>
  <tableColumns count="5">
    <tableColumn id="1" xr3:uid="{A8965DFD-1189-4BDD-80CF-7D67F8227D18}" name="CategoryName"/>
    <tableColumn id="2" xr3:uid="{3C76164E-E079-4E54-A78E-76D73DC7D956}" name="Total_Revenue" dataDxfId="14"/>
    <tableColumn id="3" xr3:uid="{EDA302FE-9EB9-42CD-A052-E6379E7DBA1D}" name="Total_Orders"/>
    <tableColumn id="4" xr3:uid="{8BCF339E-7120-4846-A209-1FF59B06973E}" name="Average_Order_Value" dataDxfId="13"/>
    <tableColumn id="5" xr3:uid="{8EDA36FD-92C2-4636-8CF1-2CE6487D584A}" name="Total_Units_Sold" dataDxfId="12"/>
  </tableColumns>
  <tableStyleInfo name="TableStyleLight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15A9E4-7CAF-49EB-B3BF-67D7434880F3}" name="Table2" displayName="Table2" ref="A13:E36" totalsRowShown="0">
  <autoFilter ref="A13:E36" xr:uid="{9B15A9E4-7CAF-49EB-B3BF-67D7434880F3}"/>
  <tableColumns count="5">
    <tableColumn id="1" xr3:uid="{62B29360-C314-42AB-AABE-6C7CA466C96B}" name="Year"/>
    <tableColumn id="2" xr3:uid="{3874EC69-5879-44C0-8995-C35D8D188FA2}" name="Month"/>
    <tableColumn id="3" xr3:uid="{2C1A74A1-D402-48FA-962D-44B685C379D2}" name="MonthName"/>
    <tableColumn id="4" xr3:uid="{AA60E8EF-7FD2-47D4-A9A0-C3CEB6F13949}" name="Total_Revenue" dataDxfId="11"/>
    <tableColumn id="5" xr3:uid="{D500CDA5-A7CA-4A92-AFDA-54CB63F08C5B}" name="Num_Orders"/>
  </tableColumns>
  <tableStyleInfo name="TableStyleLight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40BAD1-B6DE-4F42-82DF-BA62546569E5}" name="Table3" displayName="Table3" ref="A39:F48" totalsRowShown="0">
  <autoFilter ref="A39:F48" xr:uid="{6740BAD1-B6DE-4F42-82DF-BA62546569E5}"/>
  <tableColumns count="6">
    <tableColumn id="1" xr3:uid="{95218802-C354-4ED4-9017-B4C55E255F6E}" name="Employee"/>
    <tableColumn id="2" xr3:uid="{B06AD746-8253-4E19-A9AE-E2B41E34D5E2}" name="Total_Revenue" dataDxfId="10"/>
    <tableColumn id="3" xr3:uid="{A194F713-A2F0-4600-8A5C-D5953A340780}" name="Orders_Handled"/>
    <tableColumn id="4" xr3:uid="{315AD8E6-4B35-4B59-85E3-B76DFB1E2827}" name="AVG_Revenue_per_Order" dataDxfId="9"/>
    <tableColumn id="5" xr3:uid="{91232E69-A2CD-4F6B-950D-35A3A64C1DCB}" name="Min_Order_Value" dataDxfId="8"/>
    <tableColumn id="6" xr3:uid="{02A07313-34FC-4139-9515-6EB673F917FB}" name="Max_Order_Value" dataDxfId="7"/>
  </tableColumns>
  <tableStyleInfo name="TableStyleLight1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25C064D-910E-426C-9C11-9FB1A2CAAA71}" name="Table4" displayName="Table4" ref="A51:E61" totalsRowShown="0">
  <autoFilter ref="A51:E61" xr:uid="{825C064D-910E-426C-9C11-9FB1A2CAAA71}"/>
  <tableColumns count="5">
    <tableColumn id="1" xr3:uid="{213B9518-2D63-4988-806B-DC5FA228A07C}" name="ShipCountry"/>
    <tableColumn id="2" xr3:uid="{5A1DCCAB-FE3D-4538-8015-B2B6B7425306}" name="Total_Revenue" dataDxfId="6"/>
    <tableColumn id="3" xr3:uid="{52908B9C-DEC9-47CA-9444-5597DC221474}" name="Num_Orders"/>
    <tableColumn id="4" xr3:uid="{1AA558AC-F273-4C72-BA58-5F67289FF704}" name="Avg_Freight" dataDxfId="5"/>
    <tableColumn id="5" xr3:uid="{CCA08898-99B9-4546-A3A9-6F03D1249C4F}" name="Total_Freight_Cost" dataDxfId="4"/>
  </tableColumns>
  <tableStyleInfo name="TableStyleLight1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BEA853E-1988-4AB5-98C9-52E4C04D2185}" name="Table5" displayName="Table5" ref="A64:E72" totalsRowShown="0">
  <autoFilter ref="A64:E72" xr:uid="{EBEA853E-1988-4AB5-98C9-52E4C04D2185}"/>
  <tableColumns count="5">
    <tableColumn id="1" xr3:uid="{1A8ECC06-49A0-4C0E-AA68-42CD3AF47E3A}" name="CategoryName"/>
    <tableColumn id="2" xr3:uid="{8816A22A-87B9-44F1-8E5C-7AE833B90F95}" name="Revenue_1997" dataDxfId="3"/>
    <tableColumn id="3" xr3:uid="{125260C6-9E98-4E3E-B746-F3B2EEEF1B5A}" name="Revenue_1998" dataDxfId="2"/>
    <tableColumn id="4" xr3:uid="{1875DF34-A1A5-4A1E-8E4D-F5ECA85A23D2}" name="Total_Revenue" dataDxfId="1"/>
    <tableColumn id="5" xr3:uid="{F09EA886-AE4E-48C3-958D-B1D2B79DAC47}" name="YoY_Growth_Pct"/>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5" Type="http://schemas.openxmlformats.org/officeDocument/2006/relationships/table" Target="../tables/table5.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6C2E8-35D9-415D-B56B-173AD1FA977F}">
  <dimension ref="B1:Z59"/>
  <sheetViews>
    <sheetView showGridLines="0" tabSelected="1" zoomScale="85" zoomScaleNormal="85" workbookViewId="0">
      <selection activeCell="W29" sqref="W29"/>
    </sheetView>
  </sheetViews>
  <sheetFormatPr defaultRowHeight="14.5" x14ac:dyDescent="0.35"/>
  <cols>
    <col min="1" max="16384" width="8.7265625" style="7"/>
  </cols>
  <sheetData>
    <row r="1" spans="2:26" ht="15" thickBot="1" x14ac:dyDescent="0.4"/>
    <row r="2" spans="2:26" ht="32" thickTop="1" thickBot="1" x14ac:dyDescent="0.4">
      <c r="B2" s="33" t="s">
        <v>75</v>
      </c>
      <c r="C2" s="34"/>
      <c r="D2" s="34"/>
      <c r="E2" s="34"/>
      <c r="F2" s="34"/>
      <c r="G2" s="34"/>
      <c r="H2" s="34"/>
      <c r="I2" s="34"/>
      <c r="J2" s="34"/>
      <c r="K2" s="34"/>
      <c r="L2" s="34"/>
      <c r="M2" s="34"/>
      <c r="N2" s="34"/>
      <c r="O2" s="34"/>
      <c r="P2" s="34"/>
      <c r="Q2" s="34"/>
      <c r="R2" s="34"/>
      <c r="S2" s="34"/>
      <c r="T2" s="34"/>
      <c r="U2" s="35"/>
      <c r="V2" s="12"/>
      <c r="W2" s="12"/>
      <c r="X2" s="12"/>
      <c r="Y2" s="12"/>
      <c r="Z2" s="12"/>
    </row>
    <row r="3" spans="2:26" ht="15" thickTop="1" x14ac:dyDescent="0.35">
      <c r="B3" s="15" t="s">
        <v>66</v>
      </c>
      <c r="C3" s="16"/>
      <c r="D3" s="16"/>
      <c r="E3" s="16"/>
      <c r="F3" s="17"/>
      <c r="G3" s="15" t="s">
        <v>72</v>
      </c>
      <c r="H3" s="16"/>
      <c r="I3" s="16"/>
      <c r="J3" s="16"/>
      <c r="K3" s="17"/>
      <c r="L3" s="15" t="s">
        <v>73</v>
      </c>
      <c r="M3" s="16"/>
      <c r="N3" s="16"/>
      <c r="O3" s="16"/>
      <c r="P3" s="17"/>
      <c r="Q3" s="15" t="s">
        <v>76</v>
      </c>
      <c r="R3" s="16"/>
      <c r="S3" s="16"/>
      <c r="T3" s="16"/>
      <c r="U3" s="17"/>
    </row>
    <row r="4" spans="2:26" x14ac:dyDescent="0.35">
      <c r="B4" s="18"/>
      <c r="C4" s="19"/>
      <c r="D4" s="19"/>
      <c r="E4" s="19"/>
      <c r="F4" s="20"/>
      <c r="G4" s="18"/>
      <c r="H4" s="19"/>
      <c r="I4" s="19"/>
      <c r="J4" s="19"/>
      <c r="K4" s="20"/>
      <c r="L4" s="18"/>
      <c r="M4" s="19"/>
      <c r="N4" s="19"/>
      <c r="O4" s="19"/>
      <c r="P4" s="20"/>
      <c r="Q4" s="18"/>
      <c r="R4" s="19"/>
      <c r="S4" s="19"/>
      <c r="T4" s="19"/>
      <c r="U4" s="20"/>
    </row>
    <row r="5" spans="2:26" x14ac:dyDescent="0.35">
      <c r="B5" s="27">
        <f>'Summary Metrics'!B3</f>
        <v>9481210.1300000008</v>
      </c>
      <c r="C5" s="28"/>
      <c r="D5" s="28"/>
      <c r="E5" s="28"/>
      <c r="F5" s="29"/>
      <c r="G5" s="21">
        <f>'Summary Metrics'!C3</f>
        <v>6461</v>
      </c>
      <c r="H5" s="22"/>
      <c r="I5" s="22"/>
      <c r="J5" s="22"/>
      <c r="K5" s="23"/>
      <c r="L5" s="27">
        <f>'Summary Metrics'!D3</f>
        <v>1467.4524268689058</v>
      </c>
      <c r="M5" s="28"/>
      <c r="N5" s="28"/>
      <c r="O5" s="28"/>
      <c r="P5" s="29"/>
      <c r="Q5" s="21">
        <f>'Summary Metrics'!E3</f>
        <v>359219</v>
      </c>
      <c r="R5" s="22"/>
      <c r="S5" s="22"/>
      <c r="T5" s="22"/>
      <c r="U5" s="23"/>
    </row>
    <row r="6" spans="2:26" x14ac:dyDescent="0.35">
      <c r="B6" s="27"/>
      <c r="C6" s="28"/>
      <c r="D6" s="28"/>
      <c r="E6" s="28"/>
      <c r="F6" s="29"/>
      <c r="G6" s="21"/>
      <c r="H6" s="22"/>
      <c r="I6" s="22"/>
      <c r="J6" s="22"/>
      <c r="K6" s="23"/>
      <c r="L6" s="27"/>
      <c r="M6" s="28"/>
      <c r="N6" s="28"/>
      <c r="O6" s="28"/>
      <c r="P6" s="29"/>
      <c r="Q6" s="21"/>
      <c r="R6" s="22"/>
      <c r="S6" s="22"/>
      <c r="T6" s="22"/>
      <c r="U6" s="23"/>
    </row>
    <row r="7" spans="2:26" ht="15" thickBot="1" x14ac:dyDescent="0.4">
      <c r="B7" s="30"/>
      <c r="C7" s="31"/>
      <c r="D7" s="31"/>
      <c r="E7" s="31"/>
      <c r="F7" s="32"/>
      <c r="G7" s="24"/>
      <c r="H7" s="25"/>
      <c r="I7" s="25"/>
      <c r="J7" s="25"/>
      <c r="K7" s="26"/>
      <c r="L7" s="30"/>
      <c r="M7" s="31"/>
      <c r="N7" s="31"/>
      <c r="O7" s="31"/>
      <c r="P7" s="32"/>
      <c r="Q7" s="24"/>
      <c r="R7" s="25"/>
      <c r="S7" s="25"/>
      <c r="T7" s="25"/>
      <c r="U7" s="26"/>
    </row>
    <row r="8" spans="2:26" ht="15" thickTop="1" x14ac:dyDescent="0.35">
      <c r="B8" s="14"/>
      <c r="C8" s="14"/>
      <c r="D8" s="14"/>
      <c r="E8" s="14"/>
      <c r="F8" s="14"/>
      <c r="G8" s="14"/>
      <c r="H8" s="14"/>
      <c r="I8" s="14"/>
      <c r="J8" s="14"/>
      <c r="K8" s="14"/>
      <c r="L8" s="14"/>
      <c r="M8" s="14"/>
      <c r="N8" s="14"/>
      <c r="O8" s="14"/>
      <c r="P8" s="14"/>
      <c r="Q8" s="14"/>
      <c r="R8" s="14"/>
      <c r="S8" s="14"/>
      <c r="T8" s="14"/>
      <c r="U8" s="14"/>
    </row>
    <row r="9" spans="2:26" x14ac:dyDescent="0.35">
      <c r="B9" s="14"/>
      <c r="C9" s="14"/>
      <c r="D9" s="14"/>
      <c r="E9" s="14"/>
      <c r="F9" s="14"/>
      <c r="G9" s="14"/>
      <c r="H9" s="14"/>
      <c r="I9" s="14"/>
      <c r="J9" s="14"/>
      <c r="K9" s="14"/>
      <c r="L9" s="14"/>
      <c r="M9" s="14"/>
      <c r="N9" s="14"/>
      <c r="O9" s="14"/>
      <c r="P9" s="14"/>
      <c r="Q9" s="14"/>
      <c r="R9" s="14"/>
      <c r="S9" s="14"/>
      <c r="T9" s="14"/>
      <c r="U9" s="14"/>
    </row>
    <row r="10" spans="2:26" x14ac:dyDescent="0.35">
      <c r="B10" s="14"/>
      <c r="C10" s="14"/>
      <c r="D10" s="14"/>
      <c r="E10" s="14"/>
      <c r="F10" s="14"/>
      <c r="G10" s="14"/>
      <c r="H10" s="14"/>
      <c r="I10" s="14"/>
      <c r="J10" s="14"/>
      <c r="K10" s="14"/>
      <c r="L10" s="14"/>
      <c r="M10" s="14"/>
      <c r="N10" s="14"/>
      <c r="O10" s="14"/>
      <c r="P10" s="14"/>
      <c r="Q10" s="14"/>
      <c r="R10" s="14"/>
      <c r="S10" s="14"/>
      <c r="T10" s="14"/>
      <c r="U10" s="14"/>
    </row>
    <row r="11" spans="2:26" x14ac:dyDescent="0.35">
      <c r="B11" s="14"/>
      <c r="C11" s="14"/>
      <c r="D11" s="14"/>
      <c r="E11" s="14"/>
      <c r="F11" s="14"/>
      <c r="G11" s="14"/>
      <c r="H11" s="14"/>
      <c r="I11" s="14"/>
      <c r="J11" s="14"/>
      <c r="K11" s="14"/>
      <c r="L11" s="14"/>
      <c r="M11" s="14"/>
      <c r="N11" s="14"/>
      <c r="O11" s="14"/>
      <c r="P11" s="14"/>
      <c r="Q11" s="14"/>
      <c r="R11" s="14"/>
      <c r="S11" s="14"/>
      <c r="T11" s="14"/>
      <c r="U11" s="14"/>
    </row>
    <row r="12" spans="2:26" x14ac:dyDescent="0.35">
      <c r="B12" s="14"/>
      <c r="C12" s="14"/>
      <c r="D12" s="14"/>
      <c r="E12" s="14"/>
      <c r="F12" s="14"/>
      <c r="G12" s="14"/>
      <c r="H12" s="14"/>
      <c r="I12" s="14"/>
      <c r="J12" s="14"/>
      <c r="K12" s="14"/>
      <c r="L12" s="14"/>
      <c r="M12" s="14"/>
      <c r="N12" s="14"/>
      <c r="O12" s="14"/>
      <c r="P12" s="14"/>
      <c r="Q12" s="14"/>
      <c r="R12" s="14"/>
      <c r="S12" s="14"/>
      <c r="T12" s="14"/>
      <c r="U12" s="14"/>
    </row>
    <row r="13" spans="2:26" x14ac:dyDescent="0.35">
      <c r="B13" s="14"/>
      <c r="C13" s="14"/>
      <c r="D13" s="14"/>
      <c r="E13" s="14"/>
      <c r="F13" s="14"/>
      <c r="G13" s="14"/>
      <c r="H13" s="14"/>
      <c r="I13" s="14"/>
      <c r="J13" s="14"/>
      <c r="K13" s="14"/>
      <c r="L13" s="14"/>
      <c r="M13" s="14"/>
      <c r="N13" s="14"/>
      <c r="O13" s="14"/>
      <c r="P13" s="14"/>
      <c r="Q13" s="14"/>
      <c r="R13" s="14"/>
      <c r="S13" s="14"/>
      <c r="T13" s="14"/>
      <c r="U13" s="14"/>
    </row>
    <row r="14" spans="2:26" x14ac:dyDescent="0.35">
      <c r="B14" s="14"/>
      <c r="C14" s="14"/>
      <c r="D14" s="14"/>
      <c r="E14" s="14"/>
      <c r="F14" s="14"/>
      <c r="G14" s="14"/>
      <c r="H14" s="14"/>
      <c r="I14" s="14"/>
      <c r="J14" s="14"/>
      <c r="K14" s="14"/>
      <c r="L14" s="14"/>
      <c r="M14" s="14"/>
      <c r="N14" s="14"/>
      <c r="O14" s="14"/>
      <c r="P14" s="14"/>
      <c r="Q14" s="14"/>
      <c r="R14" s="14"/>
      <c r="S14" s="14"/>
      <c r="T14" s="14"/>
      <c r="U14" s="14"/>
    </row>
    <row r="15" spans="2:26" x14ac:dyDescent="0.35">
      <c r="B15" s="14"/>
      <c r="C15" s="14"/>
      <c r="D15" s="14"/>
      <c r="E15" s="14"/>
      <c r="F15" s="14"/>
      <c r="G15" s="14"/>
      <c r="H15" s="14"/>
      <c r="I15" s="14"/>
      <c r="J15" s="14"/>
      <c r="K15" s="14"/>
      <c r="L15" s="14"/>
      <c r="M15" s="14"/>
      <c r="N15" s="14"/>
      <c r="O15" s="14"/>
      <c r="P15" s="14"/>
      <c r="Q15" s="14"/>
      <c r="R15" s="14"/>
      <c r="S15" s="14"/>
      <c r="T15" s="14"/>
      <c r="U15" s="14"/>
    </row>
    <row r="16" spans="2:26" x14ac:dyDescent="0.35">
      <c r="B16" s="14"/>
      <c r="C16" s="14"/>
      <c r="D16" s="14"/>
      <c r="E16" s="14"/>
      <c r="F16" s="14"/>
      <c r="G16" s="14"/>
      <c r="H16" s="14"/>
      <c r="I16" s="14"/>
      <c r="J16" s="14"/>
      <c r="K16" s="14"/>
      <c r="L16" s="14"/>
      <c r="M16" s="14"/>
      <c r="N16" s="14"/>
      <c r="O16" s="14"/>
      <c r="P16" s="14"/>
      <c r="Q16" s="14"/>
      <c r="R16" s="14"/>
      <c r="S16" s="14"/>
      <c r="T16" s="14"/>
      <c r="U16" s="14"/>
    </row>
    <row r="17" spans="2:21" x14ac:dyDescent="0.35">
      <c r="B17" s="14"/>
      <c r="C17" s="14"/>
      <c r="D17" s="14"/>
      <c r="E17" s="14"/>
      <c r="F17" s="14"/>
      <c r="G17" s="14"/>
      <c r="H17" s="14"/>
      <c r="I17" s="14"/>
      <c r="J17" s="14"/>
      <c r="K17" s="14"/>
      <c r="L17" s="14"/>
      <c r="M17" s="14"/>
      <c r="N17" s="14"/>
      <c r="O17" s="14"/>
      <c r="P17" s="14"/>
      <c r="Q17" s="14"/>
      <c r="R17" s="14"/>
      <c r="S17" s="14"/>
      <c r="T17" s="14"/>
      <c r="U17" s="14"/>
    </row>
    <row r="18" spans="2:21" x14ac:dyDescent="0.35">
      <c r="B18" s="14"/>
      <c r="C18" s="14"/>
      <c r="D18" s="14"/>
      <c r="E18" s="14"/>
      <c r="F18" s="14"/>
      <c r="G18" s="14"/>
      <c r="H18" s="14"/>
      <c r="I18" s="14"/>
      <c r="J18" s="14"/>
      <c r="K18" s="14"/>
      <c r="L18" s="14"/>
      <c r="M18" s="14"/>
      <c r="N18" s="14"/>
      <c r="O18" s="14"/>
      <c r="P18" s="14"/>
      <c r="Q18" s="14"/>
      <c r="R18" s="14"/>
      <c r="S18" s="14"/>
      <c r="T18" s="14"/>
      <c r="U18" s="14"/>
    </row>
    <row r="19" spans="2:21" x14ac:dyDescent="0.35">
      <c r="B19" s="14"/>
      <c r="C19" s="14"/>
      <c r="D19" s="14"/>
      <c r="E19" s="14"/>
      <c r="F19" s="14"/>
      <c r="G19" s="14"/>
      <c r="H19" s="14"/>
      <c r="I19" s="14"/>
      <c r="J19" s="14"/>
      <c r="K19" s="14"/>
      <c r="L19" s="14"/>
      <c r="M19" s="14"/>
      <c r="N19" s="14"/>
      <c r="O19" s="14"/>
      <c r="P19" s="14"/>
      <c r="Q19" s="14"/>
      <c r="R19" s="14"/>
      <c r="S19" s="14"/>
      <c r="T19" s="14"/>
      <c r="U19" s="14"/>
    </row>
    <row r="20" spans="2:21" x14ac:dyDescent="0.35">
      <c r="B20" s="14"/>
      <c r="C20" s="14"/>
      <c r="D20" s="14"/>
      <c r="E20" s="14"/>
      <c r="F20" s="14"/>
      <c r="G20" s="14"/>
      <c r="H20" s="14"/>
      <c r="I20" s="14"/>
      <c r="J20" s="14"/>
      <c r="K20" s="14"/>
      <c r="L20" s="14"/>
      <c r="M20" s="14"/>
      <c r="N20" s="14"/>
      <c r="O20" s="14"/>
      <c r="P20" s="14"/>
      <c r="Q20" s="14"/>
      <c r="R20" s="14"/>
      <c r="S20" s="14"/>
      <c r="T20" s="14"/>
      <c r="U20" s="14"/>
    </row>
    <row r="21" spans="2:21" x14ac:dyDescent="0.35">
      <c r="B21" s="14"/>
      <c r="C21" s="14"/>
      <c r="D21" s="14"/>
      <c r="E21" s="14"/>
      <c r="F21" s="14"/>
      <c r="G21" s="14"/>
      <c r="H21" s="14"/>
      <c r="I21" s="14"/>
      <c r="J21" s="14"/>
      <c r="K21" s="14"/>
      <c r="L21" s="14"/>
      <c r="M21" s="14"/>
      <c r="N21" s="14"/>
      <c r="O21" s="14"/>
      <c r="P21" s="14"/>
      <c r="Q21" s="14"/>
      <c r="R21" s="14"/>
      <c r="S21" s="14"/>
      <c r="T21" s="14"/>
      <c r="U21" s="14"/>
    </row>
    <row r="22" spans="2:21" x14ac:dyDescent="0.35">
      <c r="B22" s="14"/>
      <c r="C22" s="14"/>
      <c r="D22" s="14"/>
      <c r="E22" s="14"/>
      <c r="F22" s="14"/>
      <c r="G22" s="14"/>
      <c r="H22" s="14"/>
      <c r="I22" s="14"/>
      <c r="J22" s="14"/>
      <c r="K22" s="14"/>
      <c r="L22" s="14"/>
      <c r="M22" s="14"/>
      <c r="N22" s="14"/>
      <c r="O22" s="14"/>
      <c r="P22" s="14"/>
      <c r="Q22" s="14"/>
      <c r="R22" s="14"/>
      <c r="S22" s="14"/>
      <c r="T22" s="14"/>
      <c r="U22" s="14"/>
    </row>
    <row r="23" spans="2:21" x14ac:dyDescent="0.35">
      <c r="B23" s="14"/>
      <c r="C23" s="14"/>
      <c r="D23" s="14"/>
      <c r="E23" s="14"/>
      <c r="F23" s="14"/>
      <c r="G23" s="14"/>
      <c r="H23" s="14"/>
      <c r="I23" s="14"/>
      <c r="J23" s="14"/>
      <c r="K23" s="14"/>
      <c r="L23" s="14"/>
      <c r="M23" s="14"/>
      <c r="N23" s="14"/>
      <c r="O23" s="14"/>
      <c r="P23" s="14"/>
      <c r="Q23" s="14"/>
      <c r="R23" s="14"/>
      <c r="S23" s="14"/>
      <c r="T23" s="14"/>
      <c r="U23" s="14"/>
    </row>
    <row r="24" spans="2:21" x14ac:dyDescent="0.35">
      <c r="B24" s="14"/>
      <c r="C24" s="14"/>
      <c r="D24" s="14"/>
      <c r="E24" s="14"/>
      <c r="F24" s="14"/>
      <c r="G24" s="14"/>
      <c r="H24" s="14"/>
      <c r="I24" s="14"/>
      <c r="J24" s="14"/>
      <c r="K24" s="14"/>
      <c r="L24" s="14"/>
      <c r="M24" s="14"/>
      <c r="N24" s="14"/>
      <c r="O24" s="14"/>
      <c r="P24" s="14"/>
      <c r="Q24" s="14"/>
      <c r="R24" s="14"/>
      <c r="S24" s="14"/>
      <c r="T24" s="14"/>
      <c r="U24" s="14"/>
    </row>
    <row r="25" spans="2:21" x14ac:dyDescent="0.35">
      <c r="B25" s="14"/>
      <c r="C25" s="14"/>
      <c r="D25" s="14"/>
      <c r="E25" s="14"/>
      <c r="F25" s="14"/>
      <c r="G25" s="14"/>
      <c r="H25" s="14"/>
      <c r="I25" s="14"/>
      <c r="J25" s="14"/>
      <c r="K25" s="14"/>
      <c r="L25" s="14"/>
      <c r="M25" s="14"/>
      <c r="N25" s="14"/>
      <c r="O25" s="14"/>
      <c r="P25" s="14"/>
      <c r="Q25" s="14"/>
      <c r="R25" s="14"/>
      <c r="S25" s="14"/>
      <c r="T25" s="14"/>
      <c r="U25" s="14"/>
    </row>
    <row r="26" spans="2:21" x14ac:dyDescent="0.35">
      <c r="B26" s="14"/>
      <c r="C26" s="14"/>
      <c r="D26" s="14"/>
      <c r="E26" s="14"/>
      <c r="F26" s="14"/>
      <c r="G26" s="14"/>
      <c r="H26" s="14"/>
      <c r="I26" s="14"/>
      <c r="J26" s="14"/>
      <c r="K26" s="14"/>
      <c r="L26" s="14"/>
      <c r="M26" s="14"/>
      <c r="N26" s="14"/>
      <c r="O26" s="14"/>
      <c r="P26" s="14"/>
      <c r="Q26" s="14"/>
      <c r="R26" s="14"/>
      <c r="S26" s="14"/>
      <c r="T26" s="14"/>
      <c r="U26" s="14"/>
    </row>
    <row r="27" spans="2:21" x14ac:dyDescent="0.35">
      <c r="B27" s="14"/>
      <c r="C27" s="14"/>
      <c r="D27" s="14"/>
      <c r="E27" s="14"/>
      <c r="F27" s="14"/>
      <c r="G27" s="14"/>
      <c r="H27" s="14"/>
      <c r="I27" s="14"/>
      <c r="J27" s="14"/>
      <c r="K27" s="14"/>
      <c r="L27" s="14"/>
      <c r="M27" s="14"/>
      <c r="N27" s="14"/>
      <c r="O27" s="14"/>
      <c r="P27" s="14"/>
      <c r="Q27" s="14"/>
      <c r="R27" s="14"/>
      <c r="S27" s="14"/>
      <c r="T27" s="14"/>
      <c r="U27" s="14"/>
    </row>
    <row r="28" spans="2:21" x14ac:dyDescent="0.35">
      <c r="B28" s="14"/>
      <c r="C28" s="14"/>
      <c r="D28" s="14"/>
      <c r="E28" s="14"/>
      <c r="F28" s="14"/>
      <c r="G28" s="14"/>
      <c r="H28" s="14"/>
      <c r="I28" s="14"/>
      <c r="J28" s="14"/>
      <c r="K28" s="14"/>
      <c r="L28" s="14"/>
      <c r="M28" s="14"/>
      <c r="N28" s="14"/>
      <c r="O28" s="14"/>
      <c r="P28" s="14"/>
      <c r="Q28" s="14"/>
      <c r="R28" s="14"/>
      <c r="S28" s="14"/>
      <c r="T28" s="14"/>
      <c r="U28" s="14"/>
    </row>
    <row r="29" spans="2:21" x14ac:dyDescent="0.35">
      <c r="B29" s="14"/>
      <c r="C29" s="14"/>
      <c r="D29" s="14"/>
      <c r="E29" s="14"/>
      <c r="F29" s="14"/>
      <c r="G29" s="14"/>
      <c r="H29" s="14"/>
      <c r="I29" s="14"/>
      <c r="J29" s="14"/>
      <c r="K29" s="14"/>
      <c r="L29" s="14"/>
      <c r="M29" s="14"/>
      <c r="N29" s="14"/>
      <c r="O29" s="14"/>
      <c r="P29" s="14"/>
      <c r="Q29" s="14"/>
      <c r="R29" s="14"/>
      <c r="S29" s="14"/>
      <c r="T29" s="14"/>
      <c r="U29" s="14"/>
    </row>
    <row r="30" spans="2:21" x14ac:dyDescent="0.35">
      <c r="B30" s="14"/>
      <c r="C30" s="14"/>
      <c r="D30" s="14"/>
      <c r="E30" s="14"/>
      <c r="F30" s="14"/>
      <c r="G30" s="14"/>
      <c r="H30" s="14"/>
      <c r="I30" s="14"/>
      <c r="J30" s="14"/>
      <c r="K30" s="14"/>
      <c r="L30" s="14"/>
      <c r="M30" s="14"/>
      <c r="N30" s="14"/>
      <c r="O30" s="14"/>
      <c r="P30" s="14"/>
      <c r="Q30" s="14"/>
      <c r="R30" s="14"/>
      <c r="S30" s="14"/>
      <c r="T30" s="14"/>
      <c r="U30" s="14"/>
    </row>
    <row r="31" spans="2:21" x14ac:dyDescent="0.35">
      <c r="B31" s="14"/>
      <c r="C31" s="14"/>
      <c r="D31" s="14"/>
      <c r="E31" s="14"/>
      <c r="F31" s="14"/>
      <c r="G31" s="14"/>
      <c r="H31" s="14"/>
      <c r="I31" s="14"/>
      <c r="J31" s="14"/>
      <c r="K31" s="14"/>
      <c r="L31" s="14"/>
      <c r="M31" s="14"/>
      <c r="N31" s="14"/>
      <c r="O31" s="14"/>
      <c r="P31" s="14"/>
      <c r="Q31" s="14"/>
      <c r="R31" s="14"/>
      <c r="S31" s="14"/>
      <c r="T31" s="14"/>
      <c r="U31" s="14"/>
    </row>
    <row r="32" spans="2:21" x14ac:dyDescent="0.35">
      <c r="B32" s="14"/>
      <c r="C32" s="14"/>
      <c r="D32" s="14"/>
      <c r="E32" s="14"/>
      <c r="F32" s="14"/>
      <c r="G32" s="14"/>
      <c r="H32" s="14"/>
      <c r="I32" s="14"/>
      <c r="J32" s="14"/>
      <c r="K32" s="14"/>
      <c r="L32" s="14"/>
      <c r="M32" s="14"/>
      <c r="N32" s="14"/>
      <c r="O32" s="14"/>
      <c r="P32" s="14"/>
      <c r="Q32" s="14"/>
      <c r="R32" s="14"/>
      <c r="S32" s="14"/>
      <c r="T32" s="14"/>
      <c r="U32" s="14"/>
    </row>
    <row r="33" spans="2:21" x14ac:dyDescent="0.35">
      <c r="B33" s="14"/>
      <c r="C33" s="14"/>
      <c r="D33" s="14"/>
      <c r="E33" s="14"/>
      <c r="F33" s="14"/>
      <c r="G33" s="14"/>
      <c r="H33" s="14"/>
      <c r="I33" s="14"/>
      <c r="J33" s="14"/>
      <c r="K33" s="14"/>
      <c r="L33" s="14"/>
      <c r="M33" s="14"/>
      <c r="N33" s="14"/>
      <c r="O33" s="14"/>
      <c r="P33" s="14"/>
      <c r="Q33" s="14"/>
      <c r="R33" s="14"/>
      <c r="S33" s="14"/>
      <c r="T33" s="14"/>
      <c r="U33" s="14"/>
    </row>
    <row r="34" spans="2:21" x14ac:dyDescent="0.35">
      <c r="B34" s="14"/>
      <c r="C34" s="14"/>
      <c r="D34" s="14"/>
      <c r="E34" s="14"/>
      <c r="F34" s="14"/>
      <c r="G34" s="14"/>
      <c r="H34" s="14"/>
      <c r="I34" s="14"/>
      <c r="J34" s="14"/>
      <c r="K34" s="14"/>
      <c r="L34" s="14"/>
      <c r="M34" s="14"/>
      <c r="N34" s="14"/>
      <c r="O34" s="14"/>
      <c r="P34" s="14"/>
      <c r="Q34" s="14"/>
      <c r="R34" s="14"/>
      <c r="S34" s="14"/>
      <c r="T34" s="14"/>
      <c r="U34" s="14"/>
    </row>
    <row r="35" spans="2:21" x14ac:dyDescent="0.35">
      <c r="B35" s="14"/>
      <c r="C35" s="14"/>
      <c r="D35" s="14"/>
      <c r="E35" s="14"/>
      <c r="F35" s="14"/>
      <c r="G35" s="14"/>
      <c r="H35" s="14"/>
      <c r="I35" s="14"/>
      <c r="J35" s="14"/>
      <c r="K35" s="14"/>
      <c r="L35" s="14"/>
      <c r="M35" s="14"/>
      <c r="N35" s="14"/>
      <c r="O35" s="14"/>
      <c r="P35" s="14"/>
      <c r="Q35" s="14"/>
      <c r="R35" s="14"/>
      <c r="S35" s="14"/>
      <c r="T35" s="14"/>
      <c r="U35" s="14"/>
    </row>
    <row r="36" spans="2:21" x14ac:dyDescent="0.35">
      <c r="B36" s="14"/>
      <c r="C36" s="14"/>
      <c r="D36" s="14"/>
      <c r="E36" s="14"/>
      <c r="F36" s="14"/>
      <c r="G36" s="14"/>
      <c r="H36" s="14"/>
      <c r="I36" s="14"/>
      <c r="J36" s="14"/>
      <c r="K36" s="14"/>
      <c r="L36" s="14"/>
      <c r="M36" s="14"/>
      <c r="N36" s="14"/>
      <c r="O36" s="14"/>
      <c r="P36" s="14"/>
      <c r="Q36" s="14"/>
      <c r="R36" s="14"/>
      <c r="S36" s="14"/>
      <c r="T36" s="14"/>
      <c r="U36" s="14"/>
    </row>
    <row r="37" spans="2:21" x14ac:dyDescent="0.35">
      <c r="B37" s="14"/>
      <c r="C37" s="14"/>
      <c r="D37" s="14"/>
      <c r="E37" s="14"/>
      <c r="F37" s="14"/>
      <c r="G37" s="14"/>
      <c r="H37" s="14"/>
      <c r="I37" s="14"/>
      <c r="J37" s="14"/>
      <c r="K37" s="14"/>
      <c r="L37" s="14"/>
      <c r="M37" s="14"/>
      <c r="N37" s="14"/>
      <c r="O37" s="14"/>
      <c r="P37" s="14"/>
      <c r="Q37" s="14"/>
      <c r="R37" s="14"/>
      <c r="S37" s="14"/>
      <c r="T37" s="14"/>
      <c r="U37" s="14"/>
    </row>
    <row r="38" spans="2:21" x14ac:dyDescent="0.35">
      <c r="B38" s="14"/>
      <c r="C38" s="14"/>
      <c r="D38" s="14"/>
      <c r="E38" s="14"/>
      <c r="F38" s="14"/>
      <c r="G38" s="14"/>
      <c r="H38" s="14"/>
      <c r="I38" s="14"/>
      <c r="J38" s="14"/>
      <c r="K38" s="14"/>
      <c r="L38" s="14"/>
      <c r="M38" s="14"/>
      <c r="N38" s="14"/>
      <c r="O38" s="14"/>
      <c r="P38" s="14"/>
      <c r="Q38" s="14"/>
      <c r="R38" s="14"/>
      <c r="S38" s="14"/>
      <c r="T38" s="14"/>
      <c r="U38" s="14"/>
    </row>
    <row r="39" spans="2:21" x14ac:dyDescent="0.35">
      <c r="B39" s="14"/>
      <c r="C39" s="14"/>
      <c r="D39" s="14"/>
      <c r="E39" s="14"/>
      <c r="F39" s="14"/>
      <c r="G39" s="14"/>
      <c r="H39" s="14"/>
      <c r="I39" s="14"/>
      <c r="J39" s="14"/>
      <c r="K39" s="14"/>
      <c r="L39" s="14"/>
      <c r="M39" s="14"/>
      <c r="N39" s="14"/>
      <c r="O39" s="14"/>
      <c r="P39" s="14"/>
      <c r="Q39" s="14"/>
      <c r="R39" s="14"/>
      <c r="S39" s="14"/>
      <c r="T39" s="14"/>
      <c r="U39" s="14"/>
    </row>
    <row r="40" spans="2:21" x14ac:dyDescent="0.35">
      <c r="B40" s="14"/>
      <c r="C40" s="14"/>
      <c r="D40" s="14"/>
      <c r="E40" s="14"/>
      <c r="F40" s="14"/>
      <c r="G40" s="14"/>
      <c r="H40" s="14"/>
      <c r="I40" s="14"/>
      <c r="J40" s="14"/>
      <c r="K40" s="14"/>
      <c r="L40" s="14"/>
      <c r="M40" s="14"/>
      <c r="N40" s="14"/>
      <c r="O40" s="14"/>
      <c r="P40" s="14"/>
      <c r="Q40" s="14"/>
      <c r="R40" s="14"/>
      <c r="S40" s="14"/>
      <c r="T40" s="14"/>
      <c r="U40" s="14"/>
    </row>
    <row r="41" spans="2:21" x14ac:dyDescent="0.35">
      <c r="B41" s="14"/>
      <c r="C41" s="14"/>
      <c r="D41" s="14"/>
      <c r="E41" s="14"/>
      <c r="F41" s="14"/>
      <c r="G41" s="14"/>
      <c r="H41" s="14"/>
      <c r="I41" s="14"/>
      <c r="J41" s="14"/>
      <c r="K41" s="14"/>
      <c r="L41" s="14"/>
      <c r="M41" s="14"/>
      <c r="N41" s="14"/>
      <c r="O41" s="14"/>
      <c r="P41" s="14"/>
      <c r="Q41" s="14"/>
      <c r="R41" s="14"/>
      <c r="S41" s="14"/>
      <c r="T41" s="14"/>
      <c r="U41" s="14"/>
    </row>
    <row r="42" spans="2:21" x14ac:dyDescent="0.35">
      <c r="B42" s="14"/>
      <c r="C42" s="14"/>
      <c r="D42" s="14"/>
      <c r="E42" s="14"/>
      <c r="F42" s="14"/>
      <c r="G42" s="14"/>
      <c r="H42" s="14"/>
      <c r="I42" s="14"/>
      <c r="J42" s="14"/>
      <c r="K42" s="14"/>
      <c r="L42" s="14"/>
      <c r="M42" s="14"/>
      <c r="N42" s="14"/>
      <c r="O42" s="14"/>
      <c r="P42" s="14"/>
      <c r="Q42" s="14"/>
      <c r="R42" s="14"/>
      <c r="S42" s="14"/>
      <c r="T42" s="14"/>
      <c r="U42" s="14"/>
    </row>
    <row r="43" spans="2:21" x14ac:dyDescent="0.35">
      <c r="B43" s="14"/>
      <c r="C43" s="14"/>
      <c r="D43" s="14"/>
      <c r="E43" s="14"/>
      <c r="F43" s="14"/>
      <c r="G43" s="14"/>
      <c r="H43" s="14"/>
      <c r="I43" s="14"/>
      <c r="J43" s="14"/>
      <c r="K43" s="14"/>
      <c r="L43" s="14"/>
      <c r="M43" s="14"/>
      <c r="N43" s="14"/>
      <c r="O43" s="14"/>
      <c r="P43" s="14"/>
      <c r="Q43" s="14"/>
      <c r="R43" s="14"/>
      <c r="S43" s="14"/>
      <c r="T43" s="14"/>
      <c r="U43" s="14"/>
    </row>
    <row r="44" spans="2:21" x14ac:dyDescent="0.35">
      <c r="B44" s="14"/>
      <c r="C44" s="14"/>
      <c r="D44" s="14"/>
      <c r="E44" s="14"/>
      <c r="F44" s="14"/>
      <c r="G44" s="14"/>
      <c r="H44" s="14"/>
      <c r="I44" s="14"/>
      <c r="J44" s="14"/>
      <c r="K44" s="14"/>
      <c r="L44" s="14"/>
      <c r="M44" s="14"/>
      <c r="N44" s="14"/>
      <c r="O44" s="14"/>
      <c r="P44" s="14"/>
      <c r="Q44" s="14"/>
      <c r="R44" s="14"/>
      <c r="S44" s="14"/>
      <c r="T44" s="14"/>
      <c r="U44" s="14"/>
    </row>
    <row r="45" spans="2:21" x14ac:dyDescent="0.35">
      <c r="B45" s="14"/>
      <c r="C45" s="14"/>
      <c r="D45" s="14"/>
      <c r="E45" s="14"/>
      <c r="F45" s="14"/>
      <c r="G45" s="14"/>
      <c r="H45" s="14"/>
      <c r="I45" s="14"/>
      <c r="J45" s="14"/>
      <c r="K45" s="14"/>
      <c r="L45" s="14"/>
      <c r="M45" s="14"/>
      <c r="N45" s="14"/>
      <c r="O45" s="14"/>
      <c r="P45" s="14"/>
      <c r="Q45" s="14"/>
      <c r="R45" s="14"/>
      <c r="S45" s="14"/>
      <c r="T45" s="14"/>
      <c r="U45" s="14"/>
    </row>
    <row r="46" spans="2:21" x14ac:dyDescent="0.35">
      <c r="B46" s="14"/>
      <c r="C46" s="14"/>
      <c r="D46" s="14"/>
      <c r="E46" s="14"/>
      <c r="F46" s="14"/>
      <c r="G46" s="14"/>
      <c r="H46" s="14"/>
      <c r="I46" s="14"/>
      <c r="J46" s="14"/>
      <c r="K46" s="14"/>
      <c r="L46" s="14"/>
      <c r="M46" s="14"/>
      <c r="N46" s="14"/>
      <c r="O46" s="14"/>
      <c r="P46" s="14"/>
      <c r="Q46" s="14"/>
      <c r="R46" s="14"/>
      <c r="S46" s="14"/>
      <c r="T46" s="14"/>
      <c r="U46" s="14"/>
    </row>
    <row r="47" spans="2:21" x14ac:dyDescent="0.35">
      <c r="B47" s="14"/>
      <c r="C47" s="14"/>
      <c r="D47" s="14"/>
      <c r="E47" s="14"/>
      <c r="F47" s="14"/>
      <c r="G47" s="14"/>
      <c r="H47" s="14"/>
      <c r="I47" s="14"/>
      <c r="J47" s="14"/>
      <c r="K47" s="14"/>
      <c r="L47" s="14"/>
      <c r="M47" s="14"/>
      <c r="N47" s="14"/>
      <c r="O47" s="14"/>
      <c r="P47" s="14"/>
      <c r="Q47" s="14"/>
      <c r="R47" s="14"/>
      <c r="S47" s="14"/>
      <c r="T47" s="14"/>
      <c r="U47" s="14"/>
    </row>
    <row r="48" spans="2:21" x14ac:dyDescent="0.35">
      <c r="B48" s="14"/>
      <c r="C48" s="14"/>
      <c r="D48" s="14"/>
      <c r="E48" s="14"/>
      <c r="F48" s="14"/>
      <c r="G48" s="14"/>
      <c r="H48" s="14"/>
      <c r="I48" s="14"/>
      <c r="J48" s="14"/>
      <c r="K48" s="14"/>
      <c r="L48" s="14"/>
      <c r="M48" s="14"/>
      <c r="N48" s="14"/>
      <c r="O48" s="14"/>
      <c r="P48" s="14"/>
      <c r="Q48" s="14"/>
      <c r="R48" s="14"/>
      <c r="S48" s="14"/>
      <c r="T48" s="14"/>
      <c r="U48" s="14"/>
    </row>
    <row r="49" spans="2:21" x14ac:dyDescent="0.35">
      <c r="B49" s="14"/>
      <c r="C49" s="14"/>
      <c r="D49" s="14"/>
      <c r="E49" s="14"/>
      <c r="F49" s="14"/>
      <c r="G49" s="14"/>
      <c r="H49" s="14"/>
      <c r="I49" s="14"/>
      <c r="J49" s="14"/>
      <c r="K49" s="14"/>
      <c r="L49" s="14"/>
      <c r="M49" s="14"/>
      <c r="N49" s="14"/>
      <c r="O49" s="14"/>
      <c r="P49" s="14"/>
      <c r="Q49" s="14"/>
      <c r="R49" s="14"/>
      <c r="S49" s="14"/>
      <c r="T49" s="14"/>
      <c r="U49" s="14"/>
    </row>
    <row r="50" spans="2:21" x14ac:dyDescent="0.35">
      <c r="B50" s="14"/>
      <c r="C50" s="14"/>
      <c r="D50" s="14"/>
      <c r="E50" s="14"/>
      <c r="F50" s="14"/>
      <c r="G50" s="14"/>
      <c r="H50" s="14"/>
      <c r="I50" s="14"/>
      <c r="J50" s="14"/>
      <c r="K50" s="14"/>
      <c r="L50" s="14"/>
      <c r="M50" s="14"/>
      <c r="N50" s="14"/>
      <c r="O50" s="14"/>
      <c r="P50" s="14"/>
      <c r="Q50" s="14"/>
      <c r="R50" s="14"/>
      <c r="S50" s="14"/>
      <c r="T50" s="14"/>
      <c r="U50" s="14"/>
    </row>
    <row r="51" spans="2:21" x14ac:dyDescent="0.35">
      <c r="B51" s="14"/>
      <c r="C51" s="14"/>
      <c r="D51" s="14"/>
      <c r="E51" s="14"/>
      <c r="F51" s="14"/>
      <c r="G51" s="14"/>
      <c r="H51" s="14"/>
      <c r="I51" s="14"/>
      <c r="J51" s="14"/>
      <c r="K51" s="14"/>
      <c r="L51" s="14"/>
      <c r="M51" s="14"/>
      <c r="N51" s="14"/>
      <c r="O51" s="14"/>
      <c r="P51" s="14"/>
      <c r="Q51" s="14"/>
      <c r="R51" s="14"/>
      <c r="S51" s="14"/>
      <c r="T51" s="14"/>
      <c r="U51" s="14"/>
    </row>
    <row r="52" spans="2:21" x14ac:dyDescent="0.35">
      <c r="B52" s="14"/>
      <c r="C52" s="14"/>
      <c r="D52" s="14"/>
      <c r="E52" s="14"/>
      <c r="F52" s="14"/>
      <c r="G52" s="14"/>
      <c r="H52" s="14"/>
      <c r="I52" s="14"/>
      <c r="J52" s="14"/>
      <c r="K52" s="14"/>
      <c r="L52" s="14"/>
      <c r="M52" s="14"/>
      <c r="N52" s="14"/>
      <c r="O52" s="14"/>
      <c r="P52" s="14"/>
      <c r="Q52" s="14"/>
      <c r="R52" s="14"/>
      <c r="S52" s="14"/>
      <c r="T52" s="14"/>
      <c r="U52" s="14"/>
    </row>
    <row r="53" spans="2:21" x14ac:dyDescent="0.35">
      <c r="B53" s="14"/>
      <c r="C53" s="14"/>
      <c r="D53" s="14"/>
      <c r="E53" s="14"/>
      <c r="F53" s="14"/>
      <c r="G53" s="14"/>
      <c r="H53" s="14"/>
      <c r="I53" s="14"/>
      <c r="J53" s="14"/>
      <c r="K53" s="14"/>
      <c r="L53" s="14"/>
      <c r="M53" s="14"/>
      <c r="N53" s="14"/>
      <c r="O53" s="14"/>
      <c r="P53" s="14"/>
      <c r="Q53" s="14"/>
      <c r="R53" s="14"/>
      <c r="S53" s="14"/>
      <c r="T53" s="14"/>
      <c r="U53" s="14"/>
    </row>
    <row r="54" spans="2:21" x14ac:dyDescent="0.35">
      <c r="B54" s="14"/>
      <c r="C54" s="14"/>
      <c r="D54" s="14"/>
      <c r="E54" s="14"/>
      <c r="F54" s="14"/>
      <c r="G54" s="14"/>
      <c r="H54" s="14"/>
      <c r="I54" s="14"/>
      <c r="J54" s="14"/>
      <c r="K54" s="14"/>
      <c r="L54" s="14"/>
      <c r="M54" s="14"/>
      <c r="N54" s="14"/>
      <c r="O54" s="14"/>
      <c r="P54" s="14"/>
      <c r="Q54" s="14"/>
      <c r="R54" s="14"/>
      <c r="S54" s="14"/>
      <c r="T54" s="14"/>
      <c r="U54" s="14"/>
    </row>
    <row r="55" spans="2:21" x14ac:dyDescent="0.35">
      <c r="B55" s="14"/>
      <c r="C55" s="14"/>
      <c r="D55" s="14"/>
      <c r="E55" s="14"/>
      <c r="F55" s="14"/>
      <c r="G55" s="14"/>
      <c r="H55" s="14"/>
      <c r="I55" s="14"/>
      <c r="J55" s="14"/>
      <c r="K55" s="14"/>
      <c r="L55" s="14"/>
      <c r="M55" s="14"/>
      <c r="N55" s="14"/>
      <c r="O55" s="14"/>
      <c r="P55" s="14"/>
      <c r="Q55" s="14"/>
      <c r="R55" s="14"/>
      <c r="S55" s="14"/>
      <c r="T55" s="14"/>
      <c r="U55" s="14"/>
    </row>
    <row r="56" spans="2:21" x14ac:dyDescent="0.35">
      <c r="B56" s="14"/>
      <c r="C56" s="14"/>
      <c r="D56" s="14"/>
      <c r="E56" s="14"/>
      <c r="F56" s="14"/>
      <c r="G56" s="14"/>
      <c r="H56" s="14"/>
      <c r="I56" s="14"/>
      <c r="J56" s="14"/>
      <c r="K56" s="14"/>
      <c r="L56" s="14"/>
      <c r="M56" s="14"/>
      <c r="N56" s="14"/>
      <c r="O56" s="14"/>
      <c r="P56" s="14"/>
      <c r="Q56" s="14"/>
      <c r="R56" s="14"/>
      <c r="S56" s="14"/>
      <c r="T56" s="14"/>
      <c r="U56" s="14"/>
    </row>
    <row r="57" spans="2:21" x14ac:dyDescent="0.35">
      <c r="B57" s="14"/>
      <c r="C57" s="14"/>
      <c r="D57" s="14"/>
      <c r="E57" s="14"/>
      <c r="F57" s="14"/>
      <c r="G57" s="14"/>
      <c r="H57" s="14"/>
      <c r="I57" s="14"/>
      <c r="J57" s="14"/>
      <c r="K57" s="14"/>
      <c r="L57" s="14"/>
      <c r="M57" s="14"/>
      <c r="N57" s="14"/>
      <c r="O57" s="14"/>
      <c r="P57" s="14"/>
      <c r="Q57" s="14"/>
      <c r="R57" s="14"/>
      <c r="S57" s="14"/>
      <c r="T57" s="14"/>
      <c r="U57" s="14"/>
    </row>
    <row r="58" spans="2:21" x14ac:dyDescent="0.35">
      <c r="B58" s="14"/>
      <c r="C58" s="14"/>
      <c r="D58" s="14"/>
      <c r="E58" s="14"/>
      <c r="F58" s="14"/>
      <c r="G58" s="14"/>
      <c r="H58" s="14"/>
      <c r="I58" s="14"/>
      <c r="J58" s="14"/>
      <c r="K58" s="14"/>
      <c r="L58" s="14"/>
      <c r="M58" s="14"/>
      <c r="N58" s="14"/>
      <c r="O58" s="14"/>
      <c r="P58" s="14"/>
      <c r="Q58" s="14"/>
      <c r="R58" s="14"/>
      <c r="S58" s="14"/>
      <c r="T58" s="14"/>
      <c r="U58" s="14"/>
    </row>
    <row r="59" spans="2:21" x14ac:dyDescent="0.35">
      <c r="B59" s="14"/>
      <c r="C59" s="14"/>
      <c r="D59" s="14"/>
      <c r="E59" s="14"/>
      <c r="F59" s="14"/>
      <c r="G59" s="14"/>
      <c r="H59" s="14"/>
      <c r="I59" s="14"/>
      <c r="J59" s="14"/>
      <c r="K59" s="14"/>
      <c r="L59" s="14"/>
      <c r="M59" s="14"/>
      <c r="N59" s="14"/>
      <c r="O59" s="14"/>
      <c r="P59" s="14"/>
      <c r="Q59" s="14"/>
      <c r="R59" s="14"/>
      <c r="S59" s="14"/>
      <c r="T59" s="14"/>
      <c r="U59" s="14"/>
    </row>
  </sheetData>
  <mergeCells count="9">
    <mergeCell ref="B2:U2"/>
    <mergeCell ref="Q3:U4"/>
    <mergeCell ref="Q5:U7"/>
    <mergeCell ref="B3:F4"/>
    <mergeCell ref="B5:F7"/>
    <mergeCell ref="G3:K4"/>
    <mergeCell ref="G5:K7"/>
    <mergeCell ref="L3:P4"/>
    <mergeCell ref="L5:P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FBF11-A1BD-4095-998C-37946DCBFE6C}">
  <dimension ref="A1"/>
  <sheetViews>
    <sheetView workbookViewId="0">
      <selection activeCell="F36" sqref="F36"/>
    </sheetView>
  </sheetViews>
  <sheetFormatPr defaultRowHeight="14.5" x14ac:dyDescent="0.3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4EDA2-4E4E-4F07-A407-201E16BB0548}">
  <dimension ref="A1"/>
  <sheetViews>
    <sheetView workbookViewId="0">
      <selection activeCell="O27" sqref="O27"/>
    </sheetView>
  </sheetViews>
  <sheetFormatPr defaultRowHeight="14.5" x14ac:dyDescent="0.3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EA65F-4535-4499-9E1C-B75EFC68CB11}">
  <dimension ref="A1:F72"/>
  <sheetViews>
    <sheetView zoomScaleNormal="100" workbookViewId="0">
      <selection activeCell="B41" sqref="B41"/>
    </sheetView>
  </sheetViews>
  <sheetFormatPr defaultRowHeight="14.5" x14ac:dyDescent="0.35"/>
  <cols>
    <col min="1" max="1" width="16.1796875" bestFit="1" customWidth="1"/>
    <col min="2" max="2" width="16.08984375" bestFit="1" customWidth="1"/>
    <col min="3" max="3" width="17.26953125" bestFit="1" customWidth="1"/>
    <col min="4" max="4" width="25.08984375" bestFit="1" customWidth="1"/>
    <col min="5" max="5" width="19.453125" bestFit="1" customWidth="1"/>
    <col min="6" max="6" width="18.08984375" bestFit="1" customWidth="1"/>
  </cols>
  <sheetData>
    <row r="1" spans="1:5" x14ac:dyDescent="0.35">
      <c r="A1" s="36" t="s">
        <v>13</v>
      </c>
      <c r="B1" s="36"/>
      <c r="C1" s="36"/>
      <c r="D1" s="36"/>
      <c r="E1" s="36"/>
    </row>
    <row r="2" spans="1:5" x14ac:dyDescent="0.35">
      <c r="A2" t="s">
        <v>0</v>
      </c>
      <c r="B2" t="s">
        <v>1</v>
      </c>
      <c r="C2" t="s">
        <v>2</v>
      </c>
      <c r="D2" t="s">
        <v>3</v>
      </c>
      <c r="E2" t="s">
        <v>4</v>
      </c>
    </row>
    <row r="3" spans="1:5" x14ac:dyDescent="0.35">
      <c r="A3" t="s">
        <v>5</v>
      </c>
      <c r="B3" s="3">
        <v>1253731.79</v>
      </c>
      <c r="C3">
        <v>814</v>
      </c>
      <c r="D3" s="3">
        <v>639.98559980000005</v>
      </c>
      <c r="E3" s="6">
        <v>46755</v>
      </c>
    </row>
    <row r="4" spans="1:5" x14ac:dyDescent="0.35">
      <c r="A4" t="s">
        <v>6</v>
      </c>
      <c r="B4" s="3">
        <v>1249189.99</v>
      </c>
      <c r="C4">
        <v>822</v>
      </c>
      <c r="D4" s="3">
        <v>618.71718177000002</v>
      </c>
      <c r="E4" s="6">
        <v>48327</v>
      </c>
    </row>
    <row r="5" spans="1:5" x14ac:dyDescent="0.35">
      <c r="A5" t="s">
        <v>7</v>
      </c>
      <c r="B5" s="3">
        <v>1240763.8400000001</v>
      </c>
      <c r="C5">
        <v>815</v>
      </c>
      <c r="D5" s="3">
        <v>639.89883444999998</v>
      </c>
      <c r="E5" s="6">
        <v>46019</v>
      </c>
    </row>
    <row r="6" spans="1:5" x14ac:dyDescent="0.35">
      <c r="A6" t="s">
        <v>8</v>
      </c>
      <c r="B6" s="3">
        <v>1212835.5</v>
      </c>
      <c r="C6">
        <v>799</v>
      </c>
      <c r="D6" s="3">
        <v>664.56739726000001</v>
      </c>
      <c r="E6" s="6">
        <v>43636</v>
      </c>
    </row>
    <row r="7" spans="1:5" x14ac:dyDescent="0.35">
      <c r="A7" t="s">
        <v>9</v>
      </c>
      <c r="B7" s="3">
        <v>1177359.49</v>
      </c>
      <c r="C7">
        <v>803</v>
      </c>
      <c r="D7" s="3">
        <v>646.54557385999999</v>
      </c>
      <c r="E7" s="6">
        <v>43411</v>
      </c>
    </row>
    <row r="8" spans="1:5" x14ac:dyDescent="0.35">
      <c r="A8" t="s">
        <v>10</v>
      </c>
      <c r="B8" s="3">
        <v>1176269.79</v>
      </c>
      <c r="C8">
        <v>821</v>
      </c>
      <c r="D8" s="3">
        <v>593.47618063000004</v>
      </c>
      <c r="E8" s="6">
        <v>47118</v>
      </c>
    </row>
    <row r="9" spans="1:5" x14ac:dyDescent="0.35">
      <c r="A9" t="s">
        <v>11</v>
      </c>
      <c r="B9" s="3">
        <v>1103128.0900000001</v>
      </c>
      <c r="C9">
        <v>788</v>
      </c>
      <c r="D9" s="3">
        <v>616.61715484000001</v>
      </c>
      <c r="E9" s="6">
        <v>42168</v>
      </c>
    </row>
    <row r="10" spans="1:5" x14ac:dyDescent="0.35">
      <c r="A10" t="s">
        <v>12</v>
      </c>
      <c r="B10" s="3">
        <v>1067931.6399999999</v>
      </c>
      <c r="C10">
        <v>799</v>
      </c>
      <c r="D10" s="3">
        <v>609.89813820999996</v>
      </c>
      <c r="E10" s="6">
        <v>41785</v>
      </c>
    </row>
    <row r="12" spans="1:5" x14ac:dyDescent="0.35">
      <c r="A12" s="36" t="s">
        <v>30</v>
      </c>
      <c r="B12" s="36"/>
      <c r="C12" s="36"/>
      <c r="D12" s="36"/>
      <c r="E12" s="36"/>
    </row>
    <row r="13" spans="1:5" x14ac:dyDescent="0.35">
      <c r="A13" t="s">
        <v>14</v>
      </c>
      <c r="B13" t="s">
        <v>15</v>
      </c>
      <c r="C13" t="s">
        <v>16</v>
      </c>
      <c r="D13" t="s">
        <v>1</v>
      </c>
      <c r="E13" t="s">
        <v>17</v>
      </c>
    </row>
    <row r="14" spans="1:5" x14ac:dyDescent="0.35">
      <c r="A14">
        <v>1996</v>
      </c>
      <c r="B14">
        <v>7</v>
      </c>
      <c r="C14" t="s">
        <v>18</v>
      </c>
      <c r="D14" s="3">
        <v>30192.1</v>
      </c>
      <c r="E14">
        <v>22</v>
      </c>
    </row>
    <row r="15" spans="1:5" x14ac:dyDescent="0.35">
      <c r="A15">
        <v>1996</v>
      </c>
      <c r="B15">
        <v>8</v>
      </c>
      <c r="C15" t="s">
        <v>19</v>
      </c>
      <c r="D15" s="3">
        <v>26609.4</v>
      </c>
      <c r="E15">
        <v>25</v>
      </c>
    </row>
    <row r="16" spans="1:5" x14ac:dyDescent="0.35">
      <c r="A16">
        <v>1996</v>
      </c>
      <c r="B16">
        <v>9</v>
      </c>
      <c r="C16" t="s">
        <v>20</v>
      </c>
      <c r="D16" s="3">
        <v>27636</v>
      </c>
      <c r="E16">
        <v>23</v>
      </c>
    </row>
    <row r="17" spans="1:5" x14ac:dyDescent="0.35">
      <c r="A17">
        <v>1996</v>
      </c>
      <c r="B17">
        <v>10</v>
      </c>
      <c r="C17" t="s">
        <v>21</v>
      </c>
      <c r="D17" s="3">
        <v>41203.599999999999</v>
      </c>
      <c r="E17">
        <v>26</v>
      </c>
    </row>
    <row r="18" spans="1:5" x14ac:dyDescent="0.35">
      <c r="A18">
        <v>1996</v>
      </c>
      <c r="B18">
        <v>11</v>
      </c>
      <c r="C18" t="s">
        <v>22</v>
      </c>
      <c r="D18" s="3">
        <v>49704</v>
      </c>
      <c r="E18">
        <v>25</v>
      </c>
    </row>
    <row r="19" spans="1:5" x14ac:dyDescent="0.35">
      <c r="A19">
        <v>1996</v>
      </c>
      <c r="B19">
        <v>12</v>
      </c>
      <c r="C19" t="s">
        <v>23</v>
      </c>
      <c r="D19" s="3">
        <v>50953.4</v>
      </c>
      <c r="E19">
        <v>31</v>
      </c>
    </row>
    <row r="20" spans="1:5" x14ac:dyDescent="0.35">
      <c r="A20">
        <v>1997</v>
      </c>
      <c r="B20">
        <v>1</v>
      </c>
      <c r="C20" t="s">
        <v>24</v>
      </c>
      <c r="D20" s="3">
        <v>66692.800000000003</v>
      </c>
      <c r="E20">
        <v>33</v>
      </c>
    </row>
    <row r="21" spans="1:5" x14ac:dyDescent="0.35">
      <c r="A21">
        <v>1997</v>
      </c>
      <c r="B21">
        <v>2</v>
      </c>
      <c r="C21" t="s">
        <v>25</v>
      </c>
      <c r="D21" s="3">
        <v>41207.199999999997</v>
      </c>
      <c r="E21">
        <v>29</v>
      </c>
    </row>
    <row r="22" spans="1:5" x14ac:dyDescent="0.35">
      <c r="A22">
        <v>1997</v>
      </c>
      <c r="B22">
        <v>3</v>
      </c>
      <c r="C22" t="s">
        <v>26</v>
      </c>
      <c r="D22" s="3">
        <v>39979.9</v>
      </c>
      <c r="E22">
        <v>30</v>
      </c>
    </row>
    <row r="23" spans="1:5" x14ac:dyDescent="0.35">
      <c r="A23">
        <v>1997</v>
      </c>
      <c r="B23">
        <v>4</v>
      </c>
      <c r="C23" t="s">
        <v>27</v>
      </c>
      <c r="D23" s="3">
        <v>55699.39</v>
      </c>
      <c r="E23">
        <v>31</v>
      </c>
    </row>
    <row r="24" spans="1:5" x14ac:dyDescent="0.35">
      <c r="A24">
        <v>1997</v>
      </c>
      <c r="B24">
        <v>5</v>
      </c>
      <c r="C24" t="s">
        <v>28</v>
      </c>
      <c r="D24" s="3">
        <v>56823.7</v>
      </c>
      <c r="E24">
        <v>32</v>
      </c>
    </row>
    <row r="25" spans="1:5" x14ac:dyDescent="0.35">
      <c r="A25">
        <v>1997</v>
      </c>
      <c r="B25">
        <v>6</v>
      </c>
      <c r="C25" t="s">
        <v>29</v>
      </c>
      <c r="D25" s="3">
        <v>39088</v>
      </c>
      <c r="E25">
        <v>30</v>
      </c>
    </row>
    <row r="26" spans="1:5" x14ac:dyDescent="0.35">
      <c r="A26">
        <v>1997</v>
      </c>
      <c r="B26">
        <v>7</v>
      </c>
      <c r="C26" t="s">
        <v>18</v>
      </c>
      <c r="D26" s="3">
        <v>55464.93</v>
      </c>
      <c r="E26">
        <v>33</v>
      </c>
    </row>
    <row r="27" spans="1:5" x14ac:dyDescent="0.35">
      <c r="A27">
        <v>1997</v>
      </c>
      <c r="B27">
        <v>8</v>
      </c>
      <c r="C27" t="s">
        <v>19</v>
      </c>
      <c r="D27" s="3">
        <v>49981.69</v>
      </c>
      <c r="E27">
        <v>33</v>
      </c>
    </row>
    <row r="28" spans="1:5" x14ac:dyDescent="0.35">
      <c r="A28">
        <v>1997</v>
      </c>
      <c r="B28">
        <v>9</v>
      </c>
      <c r="C28" t="s">
        <v>20</v>
      </c>
      <c r="D28" s="3">
        <v>59733.02</v>
      </c>
      <c r="E28">
        <v>37</v>
      </c>
    </row>
    <row r="29" spans="1:5" x14ac:dyDescent="0.35">
      <c r="A29">
        <v>1997</v>
      </c>
      <c r="B29">
        <v>10</v>
      </c>
      <c r="C29" t="s">
        <v>21</v>
      </c>
      <c r="D29" s="3">
        <v>70328.5</v>
      </c>
      <c r="E29">
        <v>38</v>
      </c>
    </row>
    <row r="30" spans="1:5" x14ac:dyDescent="0.35">
      <c r="A30">
        <v>1997</v>
      </c>
      <c r="B30">
        <v>11</v>
      </c>
      <c r="C30" t="s">
        <v>22</v>
      </c>
      <c r="D30" s="3">
        <v>45913.36</v>
      </c>
      <c r="E30">
        <v>34</v>
      </c>
    </row>
    <row r="31" spans="1:5" x14ac:dyDescent="0.35">
      <c r="A31">
        <v>1997</v>
      </c>
      <c r="B31">
        <v>12</v>
      </c>
      <c r="C31" t="s">
        <v>23</v>
      </c>
      <c r="D31" s="3">
        <v>77476.259999999995</v>
      </c>
      <c r="E31">
        <v>48</v>
      </c>
    </row>
    <row r="32" spans="1:5" x14ac:dyDescent="0.35">
      <c r="A32">
        <v>1998</v>
      </c>
      <c r="B32">
        <v>1</v>
      </c>
      <c r="C32" t="s">
        <v>24</v>
      </c>
      <c r="D32" s="3">
        <v>100854.72</v>
      </c>
      <c r="E32">
        <v>55</v>
      </c>
    </row>
    <row r="33" spans="1:6" x14ac:dyDescent="0.35">
      <c r="A33">
        <v>1998</v>
      </c>
      <c r="B33">
        <v>2</v>
      </c>
      <c r="C33" t="s">
        <v>25</v>
      </c>
      <c r="D33" s="3">
        <v>104561.95</v>
      </c>
      <c r="E33">
        <v>54</v>
      </c>
    </row>
    <row r="34" spans="1:6" x14ac:dyDescent="0.35">
      <c r="A34">
        <v>1998</v>
      </c>
      <c r="B34">
        <v>3</v>
      </c>
      <c r="C34" t="s">
        <v>26</v>
      </c>
      <c r="D34" s="3">
        <v>109825.45</v>
      </c>
      <c r="E34">
        <v>73</v>
      </c>
    </row>
    <row r="35" spans="1:6" x14ac:dyDescent="0.35">
      <c r="A35">
        <v>1998</v>
      </c>
      <c r="B35">
        <v>4</v>
      </c>
      <c r="C35" t="s">
        <v>27</v>
      </c>
      <c r="D35" s="3">
        <v>134630.56</v>
      </c>
      <c r="E35">
        <v>74</v>
      </c>
    </row>
    <row r="36" spans="1:6" x14ac:dyDescent="0.35">
      <c r="A36">
        <v>1998</v>
      </c>
      <c r="B36">
        <v>5</v>
      </c>
      <c r="C36" t="s">
        <v>28</v>
      </c>
      <c r="D36" s="3">
        <v>19898.66</v>
      </c>
      <c r="E36">
        <v>14</v>
      </c>
    </row>
    <row r="38" spans="1:6" x14ac:dyDescent="0.35">
      <c r="A38" s="36" t="s">
        <v>45</v>
      </c>
      <c r="B38" s="37"/>
      <c r="C38" s="37"/>
      <c r="D38" s="37"/>
      <c r="E38" s="37"/>
      <c r="F38" s="37"/>
    </row>
    <row r="39" spans="1:6" x14ac:dyDescent="0.35">
      <c r="A39" t="s">
        <v>31</v>
      </c>
      <c r="B39" t="s">
        <v>1</v>
      </c>
      <c r="C39" t="s">
        <v>32</v>
      </c>
      <c r="D39" t="s">
        <v>33</v>
      </c>
      <c r="E39" t="s">
        <v>34</v>
      </c>
      <c r="F39" t="s">
        <v>35</v>
      </c>
    </row>
    <row r="40" spans="1:6" x14ac:dyDescent="0.35">
      <c r="A40" t="s">
        <v>36</v>
      </c>
      <c r="B40" s="3">
        <v>250187.45</v>
      </c>
      <c r="C40">
        <v>156</v>
      </c>
      <c r="D40" s="3">
        <v>595.68440476000001</v>
      </c>
      <c r="E40" s="3">
        <v>7.3</v>
      </c>
      <c r="F40" s="3">
        <v>10540</v>
      </c>
    </row>
    <row r="41" spans="1:6" x14ac:dyDescent="0.35">
      <c r="A41" t="s">
        <v>37</v>
      </c>
      <c r="B41" s="3">
        <v>213051.3</v>
      </c>
      <c r="C41">
        <v>127</v>
      </c>
      <c r="D41" s="3">
        <v>663.71121495</v>
      </c>
      <c r="E41" s="3">
        <v>9.6</v>
      </c>
      <c r="F41" s="3">
        <v>9903.2000000000007</v>
      </c>
    </row>
    <row r="42" spans="1:6" x14ac:dyDescent="0.35">
      <c r="A42" t="s">
        <v>38</v>
      </c>
      <c r="B42" s="3">
        <v>202143.71</v>
      </c>
      <c r="C42">
        <v>123</v>
      </c>
      <c r="D42" s="3">
        <v>585.9237971</v>
      </c>
      <c r="E42" s="3">
        <v>10</v>
      </c>
      <c r="F42" s="3">
        <v>15810</v>
      </c>
    </row>
    <row r="43" spans="1:6" x14ac:dyDescent="0.35">
      <c r="A43" t="s">
        <v>39</v>
      </c>
      <c r="B43" s="3">
        <v>177749.26</v>
      </c>
      <c r="C43">
        <v>96</v>
      </c>
      <c r="D43" s="3">
        <v>737.54879668000001</v>
      </c>
      <c r="E43" s="3">
        <v>4.8</v>
      </c>
      <c r="F43" s="3">
        <v>15810</v>
      </c>
    </row>
    <row r="44" spans="1:6" x14ac:dyDescent="0.35">
      <c r="A44" t="s">
        <v>40</v>
      </c>
      <c r="B44" s="3">
        <v>141295.99</v>
      </c>
      <c r="C44">
        <v>72</v>
      </c>
      <c r="D44" s="3">
        <v>802.81812500000001</v>
      </c>
      <c r="E44" s="3">
        <v>16</v>
      </c>
      <c r="F44" s="3">
        <v>10540</v>
      </c>
    </row>
    <row r="45" spans="1:6" x14ac:dyDescent="0.35">
      <c r="A45" t="s">
        <v>41</v>
      </c>
      <c r="B45" s="3">
        <v>133301.03</v>
      </c>
      <c r="C45">
        <v>104</v>
      </c>
      <c r="D45" s="3">
        <v>512.69626922999998</v>
      </c>
      <c r="E45" s="3">
        <v>13.5</v>
      </c>
      <c r="F45" s="3">
        <v>2700</v>
      </c>
    </row>
    <row r="46" spans="1:6" x14ac:dyDescent="0.35">
      <c r="A46" t="s">
        <v>42</v>
      </c>
      <c r="B46" s="3">
        <v>82964</v>
      </c>
      <c r="C46">
        <v>43</v>
      </c>
      <c r="D46" s="3">
        <v>775.36448598000004</v>
      </c>
      <c r="E46" s="3">
        <v>12.5</v>
      </c>
      <c r="F46" s="3">
        <v>10540</v>
      </c>
    </row>
    <row r="47" spans="1:6" x14ac:dyDescent="0.35">
      <c r="A47" t="s">
        <v>43</v>
      </c>
      <c r="B47" s="3">
        <v>78198.100000000006</v>
      </c>
      <c r="C47">
        <v>67</v>
      </c>
      <c r="D47" s="3">
        <v>465.46488095000001</v>
      </c>
      <c r="E47" s="3">
        <v>20</v>
      </c>
      <c r="F47" s="3">
        <v>4456.4399999999996</v>
      </c>
    </row>
    <row r="48" spans="1:6" x14ac:dyDescent="0.35">
      <c r="A48" t="s">
        <v>44</v>
      </c>
      <c r="B48" s="3">
        <v>75567.75</v>
      </c>
      <c r="C48">
        <v>42</v>
      </c>
      <c r="D48" s="3">
        <v>645.87820512999997</v>
      </c>
      <c r="E48" s="3">
        <v>27</v>
      </c>
      <c r="F48" s="3">
        <v>8432</v>
      </c>
    </row>
    <row r="50" spans="1:5" x14ac:dyDescent="0.35">
      <c r="A50" s="36" t="s">
        <v>59</v>
      </c>
      <c r="B50" s="37"/>
      <c r="C50" s="37"/>
      <c r="D50" s="37"/>
      <c r="E50" s="37"/>
    </row>
    <row r="51" spans="1:5" x14ac:dyDescent="0.35">
      <c r="A51" t="s">
        <v>46</v>
      </c>
      <c r="B51" t="s">
        <v>1</v>
      </c>
      <c r="C51" t="s">
        <v>17</v>
      </c>
      <c r="D51" t="s">
        <v>47</v>
      </c>
      <c r="E51" t="s">
        <v>48</v>
      </c>
    </row>
    <row r="52" spans="1:5" x14ac:dyDescent="0.35">
      <c r="A52" t="s">
        <v>49</v>
      </c>
      <c r="B52" s="3">
        <v>263566.98</v>
      </c>
      <c r="C52">
        <v>122</v>
      </c>
      <c r="D52" s="3">
        <v>131.15289773000001</v>
      </c>
      <c r="E52" s="3">
        <v>46165.82</v>
      </c>
    </row>
    <row r="53" spans="1:5" x14ac:dyDescent="0.35">
      <c r="A53" t="s">
        <v>50</v>
      </c>
      <c r="B53" s="3">
        <v>244640.63</v>
      </c>
      <c r="C53">
        <v>122</v>
      </c>
      <c r="D53" s="3">
        <v>116.3742378</v>
      </c>
      <c r="E53" s="3">
        <v>38170.75</v>
      </c>
    </row>
    <row r="54" spans="1:5" x14ac:dyDescent="0.35">
      <c r="A54" t="s">
        <v>51</v>
      </c>
      <c r="B54" s="3">
        <v>139496.63</v>
      </c>
      <c r="C54">
        <v>40</v>
      </c>
      <c r="D54" s="3">
        <v>221.85151999999999</v>
      </c>
      <c r="E54" s="3">
        <v>27731.439999999999</v>
      </c>
    </row>
    <row r="55" spans="1:5" x14ac:dyDescent="0.35">
      <c r="A55" t="s">
        <v>52</v>
      </c>
      <c r="B55" s="3">
        <v>114968.48</v>
      </c>
      <c r="C55">
        <v>83</v>
      </c>
      <c r="D55" s="3">
        <v>71.837339900000003</v>
      </c>
      <c r="E55" s="3">
        <v>14582.98</v>
      </c>
    </row>
    <row r="56" spans="1:5" x14ac:dyDescent="0.35">
      <c r="A56" t="s">
        <v>53</v>
      </c>
      <c r="B56" s="3">
        <v>85498.76</v>
      </c>
      <c r="C56">
        <v>77</v>
      </c>
      <c r="D56" s="3">
        <v>68.622717390000005</v>
      </c>
      <c r="E56" s="3">
        <v>12626.58</v>
      </c>
    </row>
    <row r="57" spans="1:5" x14ac:dyDescent="0.35">
      <c r="A57" t="s">
        <v>54</v>
      </c>
      <c r="B57" s="3">
        <v>60814.89</v>
      </c>
      <c r="C57">
        <v>46</v>
      </c>
      <c r="D57" s="3">
        <v>66.715593220000002</v>
      </c>
      <c r="E57" s="3">
        <v>7872.44</v>
      </c>
    </row>
    <row r="58" spans="1:5" x14ac:dyDescent="0.35">
      <c r="A58" t="s">
        <v>55</v>
      </c>
      <c r="B58" s="3">
        <v>60616.51</v>
      </c>
      <c r="C58">
        <v>56</v>
      </c>
      <c r="D58" s="3">
        <v>62.892814809999997</v>
      </c>
      <c r="E58" s="3">
        <v>8490.5300000000007</v>
      </c>
    </row>
    <row r="59" spans="1:5" x14ac:dyDescent="0.35">
      <c r="A59" t="s">
        <v>56</v>
      </c>
      <c r="B59" s="3">
        <v>59523.7</v>
      </c>
      <c r="C59">
        <v>37</v>
      </c>
      <c r="D59" s="3">
        <v>104.59917526</v>
      </c>
      <c r="E59" s="3">
        <v>10146.120000000001</v>
      </c>
    </row>
    <row r="60" spans="1:5" x14ac:dyDescent="0.35">
      <c r="A60" t="s">
        <v>57</v>
      </c>
      <c r="B60" s="3">
        <v>57317.39</v>
      </c>
      <c r="C60">
        <v>19</v>
      </c>
      <c r="D60" s="3">
        <v>131.17254545</v>
      </c>
      <c r="E60" s="3">
        <v>7214.49</v>
      </c>
    </row>
    <row r="61" spans="1:5" x14ac:dyDescent="0.35">
      <c r="A61" t="s">
        <v>58</v>
      </c>
      <c r="B61" s="3">
        <v>55334.1</v>
      </c>
      <c r="C61">
        <v>30</v>
      </c>
      <c r="D61" s="3">
        <v>84.292000000000002</v>
      </c>
      <c r="E61" s="3">
        <v>6321.9</v>
      </c>
    </row>
    <row r="63" spans="1:5" x14ac:dyDescent="0.35">
      <c r="A63" s="36" t="s">
        <v>63</v>
      </c>
      <c r="B63" s="37"/>
      <c r="C63" s="37"/>
      <c r="D63" s="37"/>
      <c r="E63" s="37"/>
    </row>
    <row r="64" spans="1:5" x14ac:dyDescent="0.35">
      <c r="A64" t="s">
        <v>0</v>
      </c>
      <c r="B64" t="s">
        <v>60</v>
      </c>
      <c r="C64" t="s">
        <v>61</v>
      </c>
      <c r="D64" t="s">
        <v>1</v>
      </c>
      <c r="E64" t="s">
        <v>62</v>
      </c>
    </row>
    <row r="65" spans="1:5" x14ac:dyDescent="0.35">
      <c r="A65" t="s">
        <v>12</v>
      </c>
      <c r="B65" s="3">
        <v>110424</v>
      </c>
      <c r="C65" s="3">
        <v>122223.75</v>
      </c>
      <c r="D65" s="3">
        <v>286526.95</v>
      </c>
      <c r="E65">
        <v>10.7</v>
      </c>
    </row>
    <row r="66" spans="1:5" x14ac:dyDescent="0.35">
      <c r="A66" t="s">
        <v>11</v>
      </c>
      <c r="B66" s="3">
        <v>123910.8</v>
      </c>
      <c r="C66" s="3">
        <v>82803.899999999994</v>
      </c>
      <c r="D66" s="3">
        <v>251330.5</v>
      </c>
      <c r="E66">
        <v>-33.200000000000003</v>
      </c>
    </row>
    <row r="67" spans="1:5" x14ac:dyDescent="0.35">
      <c r="A67" t="s">
        <v>10</v>
      </c>
      <c r="B67" s="3">
        <v>87621.03</v>
      </c>
      <c r="C67" s="3">
        <v>60275.57</v>
      </c>
      <c r="D67" s="3">
        <v>178188.79999999999</v>
      </c>
      <c r="E67">
        <v>-31.2</v>
      </c>
    </row>
    <row r="68" spans="1:5" x14ac:dyDescent="0.35">
      <c r="A68" t="s">
        <v>9</v>
      </c>
      <c r="B68" s="3">
        <v>87227.77</v>
      </c>
      <c r="C68" s="3">
        <v>58359.73</v>
      </c>
      <c r="D68" s="3">
        <v>177099.1</v>
      </c>
      <c r="E68">
        <v>-33.1</v>
      </c>
    </row>
    <row r="69" spans="1:5" x14ac:dyDescent="0.35">
      <c r="A69" t="s">
        <v>8</v>
      </c>
      <c r="B69" s="3">
        <v>71320.649999999994</v>
      </c>
      <c r="C69" s="3">
        <v>48712.84</v>
      </c>
      <c r="D69" s="3">
        <v>141623.09</v>
      </c>
      <c r="E69">
        <v>-31.7</v>
      </c>
    </row>
    <row r="70" spans="1:5" x14ac:dyDescent="0.35">
      <c r="A70" t="s">
        <v>7</v>
      </c>
      <c r="B70" s="3">
        <v>59679</v>
      </c>
      <c r="C70" s="3">
        <v>34557.449999999997</v>
      </c>
      <c r="D70" s="3">
        <v>113694.75</v>
      </c>
      <c r="E70">
        <v>-42.1</v>
      </c>
    </row>
    <row r="71" spans="1:5" x14ac:dyDescent="0.35">
      <c r="A71" t="s">
        <v>6</v>
      </c>
      <c r="B71" s="3">
        <v>57718.55</v>
      </c>
      <c r="C71" s="3">
        <v>32415.85</v>
      </c>
      <c r="D71" s="3">
        <v>105268.6</v>
      </c>
      <c r="E71">
        <v>-43.8</v>
      </c>
    </row>
    <row r="72" spans="1:5" x14ac:dyDescent="0.35">
      <c r="A72" t="s">
        <v>5</v>
      </c>
      <c r="B72" s="3">
        <v>60486.95</v>
      </c>
      <c r="C72" s="3">
        <v>30422.25</v>
      </c>
      <c r="D72" s="3">
        <v>100726.8</v>
      </c>
      <c r="E72">
        <v>-49.7</v>
      </c>
    </row>
  </sheetData>
  <mergeCells count="5">
    <mergeCell ref="A1:E1"/>
    <mergeCell ref="A12:E12"/>
    <mergeCell ref="A38:F38"/>
    <mergeCell ref="A50:E50"/>
    <mergeCell ref="A63:E63"/>
  </mergeCells>
  <pageMargins left="0.7" right="0.7" top="0.75" bottom="0.75" header="0.3" footer="0.3"/>
  <tableParts count="5">
    <tablePart r:id="rId1"/>
    <tablePart r:id="rId2"/>
    <tablePart r:id="rId3"/>
    <tablePart r:id="rId4"/>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0FB26-EE0B-4BC4-827A-536A23E96AFE}">
  <dimension ref="B2:E3"/>
  <sheetViews>
    <sheetView workbookViewId="0">
      <selection activeCell="D7" sqref="D7"/>
    </sheetView>
  </sheetViews>
  <sheetFormatPr defaultRowHeight="14.5" x14ac:dyDescent="0.35"/>
  <cols>
    <col min="1" max="1" width="8.7265625" style="7"/>
    <col min="2" max="2" width="13.81640625" style="7" bestFit="1" customWidth="1"/>
    <col min="3" max="3" width="11.453125" style="7" bestFit="1" customWidth="1"/>
    <col min="4" max="4" width="17.08984375" style="7" customWidth="1"/>
    <col min="5" max="5" width="14.453125" style="7" bestFit="1" customWidth="1"/>
    <col min="6" max="16384" width="8.7265625" style="7"/>
  </cols>
  <sheetData>
    <row r="2" spans="2:5" s="8" customFormat="1" ht="29" x14ac:dyDescent="0.35">
      <c r="B2" s="11" t="s">
        <v>66</v>
      </c>
      <c r="C2" s="11" t="s">
        <v>72</v>
      </c>
      <c r="D2" s="11" t="s">
        <v>73</v>
      </c>
      <c r="E2" s="11" t="s">
        <v>74</v>
      </c>
    </row>
    <row r="3" spans="2:5" x14ac:dyDescent="0.35">
      <c r="B3" s="13">
        <f>SUM(Table1[Total_Revenue])</f>
        <v>9481210.1300000008</v>
      </c>
      <c r="C3" s="9">
        <f>SUM(Table1[Total_Orders])</f>
        <v>6461</v>
      </c>
      <c r="D3" s="13">
        <f>B3/C3</f>
        <v>1467.4524268689058</v>
      </c>
      <c r="E3" s="10">
        <f>SUM(Table1[Total_Units_Sold])</f>
        <v>359219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96E9F-688F-4879-BB5A-72436762A889}">
  <dimension ref="A1:B14"/>
  <sheetViews>
    <sheetView workbookViewId="0">
      <selection activeCell="H34" sqref="H34"/>
    </sheetView>
  </sheetViews>
  <sheetFormatPr defaultRowHeight="14.5" x14ac:dyDescent="0.35"/>
  <cols>
    <col min="1" max="1" width="13.6328125" bestFit="1" customWidth="1"/>
    <col min="2" max="2" width="13.36328125" bestFit="1" customWidth="1"/>
  </cols>
  <sheetData>
    <row r="1" spans="1:2" x14ac:dyDescent="0.35">
      <c r="A1" s="1" t="s">
        <v>65</v>
      </c>
      <c r="B1" t="s">
        <v>66</v>
      </c>
    </row>
    <row r="2" spans="1:2" x14ac:dyDescent="0.35">
      <c r="A2" s="2" t="s">
        <v>12</v>
      </c>
      <c r="B2" s="3">
        <v>1067931.6399999999</v>
      </c>
    </row>
    <row r="3" spans="1:2" x14ac:dyDescent="0.35">
      <c r="A3" s="2" t="s">
        <v>11</v>
      </c>
      <c r="B3" s="3">
        <v>1103128.0900000001</v>
      </c>
    </row>
    <row r="4" spans="1:2" x14ac:dyDescent="0.35">
      <c r="A4" s="2" t="s">
        <v>10</v>
      </c>
      <c r="B4" s="3">
        <v>1176269.79</v>
      </c>
    </row>
    <row r="5" spans="1:2" x14ac:dyDescent="0.35">
      <c r="A5" s="2" t="s">
        <v>9</v>
      </c>
      <c r="B5" s="3">
        <v>1177359.49</v>
      </c>
    </row>
    <row r="6" spans="1:2" x14ac:dyDescent="0.35">
      <c r="A6" s="2" t="s">
        <v>8</v>
      </c>
      <c r="B6" s="3">
        <v>1212835.5</v>
      </c>
    </row>
    <row r="7" spans="1:2" x14ac:dyDescent="0.35">
      <c r="A7" s="2" t="s">
        <v>7</v>
      </c>
      <c r="B7" s="3">
        <v>1240763.8400000001</v>
      </c>
    </row>
    <row r="8" spans="1:2" x14ac:dyDescent="0.35">
      <c r="A8" s="2" t="s">
        <v>6</v>
      </c>
      <c r="B8" s="3">
        <v>1249189.99</v>
      </c>
    </row>
    <row r="9" spans="1:2" x14ac:dyDescent="0.35">
      <c r="A9" s="2" t="s">
        <v>5</v>
      </c>
      <c r="B9" s="3">
        <v>1253731.79</v>
      </c>
    </row>
    <row r="10" spans="1:2" x14ac:dyDescent="0.35">
      <c r="A10" s="2" t="s">
        <v>64</v>
      </c>
      <c r="B10" s="3">
        <v>9481210.129999999</v>
      </c>
    </row>
    <row r="14" spans="1:2" x14ac:dyDescent="0.35">
      <c r="B14" s="5"/>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FFCBD-C94E-4FBD-98D3-347291596047}">
  <dimension ref="A1:C14"/>
  <sheetViews>
    <sheetView workbookViewId="0">
      <selection activeCell="B24" sqref="B24"/>
    </sheetView>
  </sheetViews>
  <sheetFormatPr defaultRowHeight="14.5" x14ac:dyDescent="0.35"/>
  <cols>
    <col min="1" max="1" width="13.36328125" bestFit="1" customWidth="1"/>
    <col min="2" max="2" width="9.90625" bestFit="1" customWidth="1"/>
    <col min="3" max="3" width="10.90625" bestFit="1" customWidth="1"/>
    <col min="4" max="5" width="12.453125" bestFit="1" customWidth="1"/>
  </cols>
  <sheetData>
    <row r="1" spans="1:3" x14ac:dyDescent="0.35">
      <c r="A1" s="1" t="s">
        <v>66</v>
      </c>
      <c r="B1" s="1" t="s">
        <v>14</v>
      </c>
    </row>
    <row r="2" spans="1:3" x14ac:dyDescent="0.35">
      <c r="A2" s="1" t="s">
        <v>15</v>
      </c>
      <c r="B2">
        <v>1997</v>
      </c>
      <c r="C2">
        <v>1998</v>
      </c>
    </row>
    <row r="3" spans="1:3" x14ac:dyDescent="0.35">
      <c r="A3" s="2" t="s">
        <v>24</v>
      </c>
      <c r="B3" s="3">
        <v>66692.800000000003</v>
      </c>
      <c r="C3" s="3">
        <v>100854.72</v>
      </c>
    </row>
    <row r="4" spans="1:3" x14ac:dyDescent="0.35">
      <c r="A4" s="2" t="s">
        <v>25</v>
      </c>
      <c r="B4" s="3">
        <v>41207.199999999997</v>
      </c>
      <c r="C4" s="3">
        <v>104561.95</v>
      </c>
    </row>
    <row r="5" spans="1:3" x14ac:dyDescent="0.35">
      <c r="A5" s="2" t="s">
        <v>26</v>
      </c>
      <c r="B5" s="3">
        <v>39979.9</v>
      </c>
      <c r="C5" s="3">
        <v>109825.45</v>
      </c>
    </row>
    <row r="6" spans="1:3" x14ac:dyDescent="0.35">
      <c r="A6" s="2" t="s">
        <v>27</v>
      </c>
      <c r="B6" s="3">
        <v>55699.39</v>
      </c>
      <c r="C6" s="3">
        <v>134630.56</v>
      </c>
    </row>
    <row r="7" spans="1:3" x14ac:dyDescent="0.35">
      <c r="A7" s="2" t="s">
        <v>28</v>
      </c>
      <c r="B7" s="3">
        <v>56823.7</v>
      </c>
      <c r="C7" s="3">
        <v>19898.66</v>
      </c>
    </row>
    <row r="8" spans="1:3" x14ac:dyDescent="0.35">
      <c r="A8" s="2" t="s">
        <v>29</v>
      </c>
      <c r="B8" s="3">
        <v>39088</v>
      </c>
      <c r="C8" s="3"/>
    </row>
    <row r="9" spans="1:3" x14ac:dyDescent="0.35">
      <c r="A9" s="2" t="s">
        <v>18</v>
      </c>
      <c r="B9" s="3">
        <v>55464.93</v>
      </c>
      <c r="C9" s="3"/>
    </row>
    <row r="10" spans="1:3" x14ac:dyDescent="0.35">
      <c r="A10" s="2" t="s">
        <v>19</v>
      </c>
      <c r="B10" s="3">
        <v>49981.69</v>
      </c>
      <c r="C10" s="3"/>
    </row>
    <row r="11" spans="1:3" x14ac:dyDescent="0.35">
      <c r="A11" s="2" t="s">
        <v>20</v>
      </c>
      <c r="B11" s="3">
        <v>59733.02</v>
      </c>
      <c r="C11" s="3"/>
    </row>
    <row r="12" spans="1:3" x14ac:dyDescent="0.35">
      <c r="A12" s="2" t="s">
        <v>21</v>
      </c>
      <c r="B12" s="3">
        <v>70328.5</v>
      </c>
      <c r="C12" s="3"/>
    </row>
    <row r="13" spans="1:3" x14ac:dyDescent="0.35">
      <c r="A13" s="2" t="s">
        <v>22</v>
      </c>
      <c r="B13" s="3">
        <v>45913.36</v>
      </c>
      <c r="C13" s="3"/>
    </row>
    <row r="14" spans="1:3" x14ac:dyDescent="0.35">
      <c r="A14" s="2" t="s">
        <v>23</v>
      </c>
      <c r="B14" s="3">
        <v>77476.259999999995</v>
      </c>
      <c r="C14" s="3"/>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DA1AA-A2CB-4397-A92A-536AAC0A9EB0}">
  <dimension ref="A1:C10"/>
  <sheetViews>
    <sheetView workbookViewId="0">
      <selection activeCell="C21" sqref="C21"/>
    </sheetView>
  </sheetViews>
  <sheetFormatPr defaultRowHeight="14.5" x14ac:dyDescent="0.35"/>
  <cols>
    <col min="1" max="1" width="16.08984375" bestFit="1" customWidth="1"/>
    <col min="2" max="2" width="13.36328125" bestFit="1" customWidth="1"/>
    <col min="3" max="3" width="14.54296875" bestFit="1" customWidth="1"/>
  </cols>
  <sheetData>
    <row r="1" spans="1:3" x14ac:dyDescent="0.35">
      <c r="A1" s="1" t="s">
        <v>31</v>
      </c>
      <c r="B1" t="s">
        <v>66</v>
      </c>
      <c r="C1" t="s">
        <v>67</v>
      </c>
    </row>
    <row r="2" spans="1:3" x14ac:dyDescent="0.35">
      <c r="A2" s="2" t="s">
        <v>36</v>
      </c>
      <c r="B2" s="3">
        <v>250187.45</v>
      </c>
      <c r="C2" s="38">
        <v>156</v>
      </c>
    </row>
    <row r="3" spans="1:3" x14ac:dyDescent="0.35">
      <c r="A3" s="2" t="s">
        <v>37</v>
      </c>
      <c r="B3" s="3">
        <v>213051.3</v>
      </c>
      <c r="C3" s="38">
        <v>127</v>
      </c>
    </row>
    <row r="4" spans="1:3" x14ac:dyDescent="0.35">
      <c r="A4" s="2" t="s">
        <v>38</v>
      </c>
      <c r="B4" s="3">
        <v>202143.71</v>
      </c>
      <c r="C4" s="38">
        <v>123</v>
      </c>
    </row>
    <row r="5" spans="1:3" x14ac:dyDescent="0.35">
      <c r="A5" s="2" t="s">
        <v>39</v>
      </c>
      <c r="B5" s="3">
        <v>177749.26</v>
      </c>
      <c r="C5" s="38">
        <v>96</v>
      </c>
    </row>
    <row r="6" spans="1:3" x14ac:dyDescent="0.35">
      <c r="A6" s="2" t="s">
        <v>40</v>
      </c>
      <c r="B6" s="3">
        <v>141295.99</v>
      </c>
      <c r="C6" s="38">
        <v>72</v>
      </c>
    </row>
    <row r="7" spans="1:3" x14ac:dyDescent="0.35">
      <c r="A7" s="2" t="s">
        <v>41</v>
      </c>
      <c r="B7" s="3">
        <v>133301.03</v>
      </c>
      <c r="C7" s="38">
        <v>104</v>
      </c>
    </row>
    <row r="8" spans="1:3" x14ac:dyDescent="0.35">
      <c r="A8" s="2" t="s">
        <v>42</v>
      </c>
      <c r="B8" s="3">
        <v>82964</v>
      </c>
      <c r="C8" s="38">
        <v>43</v>
      </c>
    </row>
    <row r="9" spans="1:3" x14ac:dyDescent="0.35">
      <c r="A9" s="2" t="s">
        <v>43</v>
      </c>
      <c r="B9" s="3">
        <v>78198.100000000006</v>
      </c>
      <c r="C9" s="38">
        <v>67</v>
      </c>
    </row>
    <row r="10" spans="1:3" x14ac:dyDescent="0.35">
      <c r="A10" s="2" t="s">
        <v>44</v>
      </c>
      <c r="B10" s="3">
        <v>75567.75</v>
      </c>
      <c r="C10" s="38">
        <v>42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0B8E5-E42F-4BCD-8F2A-E0D573536C35}">
  <dimension ref="A1:B11"/>
  <sheetViews>
    <sheetView workbookViewId="0">
      <selection activeCell="B17" sqref="B17"/>
    </sheetView>
  </sheetViews>
  <sheetFormatPr defaultRowHeight="14.5" x14ac:dyDescent="0.35"/>
  <cols>
    <col min="1" max="1" width="10.1796875" bestFit="1" customWidth="1"/>
    <col min="2" max="2" width="13.36328125" bestFit="1" customWidth="1"/>
  </cols>
  <sheetData>
    <row r="1" spans="1:2" x14ac:dyDescent="0.35">
      <c r="A1" s="1" t="s">
        <v>68</v>
      </c>
      <c r="B1" t="s">
        <v>66</v>
      </c>
    </row>
    <row r="2" spans="1:2" x14ac:dyDescent="0.35">
      <c r="A2" s="2" t="s">
        <v>49</v>
      </c>
      <c r="B2" s="3">
        <v>263566.98</v>
      </c>
    </row>
    <row r="3" spans="1:2" x14ac:dyDescent="0.35">
      <c r="A3" s="2" t="s">
        <v>50</v>
      </c>
      <c r="B3" s="3">
        <v>244640.63</v>
      </c>
    </row>
    <row r="4" spans="1:2" x14ac:dyDescent="0.35">
      <c r="A4" s="2" t="s">
        <v>51</v>
      </c>
      <c r="B4" s="3">
        <v>139496.63</v>
      </c>
    </row>
    <row r="5" spans="1:2" x14ac:dyDescent="0.35">
      <c r="A5" s="2" t="s">
        <v>52</v>
      </c>
      <c r="B5" s="3">
        <v>114968.48</v>
      </c>
    </row>
    <row r="6" spans="1:2" x14ac:dyDescent="0.35">
      <c r="A6" s="2" t="s">
        <v>53</v>
      </c>
      <c r="B6" s="3">
        <v>85498.76</v>
      </c>
    </row>
    <row r="7" spans="1:2" x14ac:dyDescent="0.35">
      <c r="A7" s="2" t="s">
        <v>54</v>
      </c>
      <c r="B7" s="3">
        <v>60814.89</v>
      </c>
    </row>
    <row r="8" spans="1:2" x14ac:dyDescent="0.35">
      <c r="A8" s="2" t="s">
        <v>55</v>
      </c>
      <c r="B8" s="3">
        <v>60616.51</v>
      </c>
    </row>
    <row r="9" spans="1:2" x14ac:dyDescent="0.35">
      <c r="A9" s="2" t="s">
        <v>56</v>
      </c>
      <c r="B9" s="3">
        <v>59523.7</v>
      </c>
    </row>
    <row r="10" spans="1:2" x14ac:dyDescent="0.35">
      <c r="A10" s="2" t="s">
        <v>57</v>
      </c>
      <c r="B10" s="3">
        <v>57317.39</v>
      </c>
    </row>
    <row r="11" spans="1:2" x14ac:dyDescent="0.35">
      <c r="A11" s="2" t="s">
        <v>58</v>
      </c>
      <c r="B11" s="3">
        <v>55334.1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16F61-0036-4C9B-BAA5-4C0DA0C771A6}">
  <dimension ref="A1:C17"/>
  <sheetViews>
    <sheetView workbookViewId="0">
      <selection activeCell="B21" sqref="B21"/>
    </sheetView>
  </sheetViews>
  <sheetFormatPr defaultRowHeight="14.5" x14ac:dyDescent="0.35"/>
  <cols>
    <col min="1" max="1" width="18.1796875" bestFit="1" customWidth="1"/>
    <col min="2" max="3" width="12.90625" bestFit="1" customWidth="1"/>
    <col min="4" max="4" width="9.90625" bestFit="1" customWidth="1"/>
    <col min="5" max="5" width="10.90625" bestFit="1" customWidth="1"/>
    <col min="6" max="8" width="9.90625" bestFit="1" customWidth="1"/>
    <col min="9" max="9" width="10.90625" bestFit="1" customWidth="1"/>
    <col min="10" max="10" width="12.90625" bestFit="1" customWidth="1"/>
    <col min="11" max="16" width="9.90625" bestFit="1" customWidth="1"/>
    <col min="17" max="17" width="10.90625" bestFit="1" customWidth="1"/>
    <col min="18" max="19" width="17.7265625" bestFit="1" customWidth="1"/>
  </cols>
  <sheetData>
    <row r="1" spans="1:3" x14ac:dyDescent="0.35">
      <c r="A1" s="1" t="s">
        <v>71</v>
      </c>
      <c r="B1" t="s">
        <v>69</v>
      </c>
      <c r="C1" t="s">
        <v>70</v>
      </c>
    </row>
    <row r="2" spans="1:3" x14ac:dyDescent="0.35">
      <c r="A2" s="2">
        <v>-49.7</v>
      </c>
      <c r="B2" s="3">
        <v>60486.95</v>
      </c>
      <c r="C2" s="3">
        <v>30422.25</v>
      </c>
    </row>
    <row r="3" spans="1:3" x14ac:dyDescent="0.35">
      <c r="A3" s="4" t="s">
        <v>77</v>
      </c>
      <c r="B3" s="3">
        <v>60486.95</v>
      </c>
      <c r="C3" s="3">
        <v>30422.25</v>
      </c>
    </row>
    <row r="4" spans="1:3" x14ac:dyDescent="0.35">
      <c r="A4" s="2">
        <v>-43.8</v>
      </c>
      <c r="B4" s="3">
        <v>57718.55</v>
      </c>
      <c r="C4" s="3">
        <v>32415.85</v>
      </c>
    </row>
    <row r="5" spans="1:3" x14ac:dyDescent="0.35">
      <c r="A5" s="4" t="s">
        <v>6</v>
      </c>
      <c r="B5" s="3">
        <v>57718.55</v>
      </c>
      <c r="C5" s="3">
        <v>32415.85</v>
      </c>
    </row>
    <row r="6" spans="1:3" x14ac:dyDescent="0.35">
      <c r="A6" s="2">
        <v>-42.1</v>
      </c>
      <c r="B6" s="3">
        <v>59679</v>
      </c>
      <c r="C6" s="3">
        <v>34557.449999999997</v>
      </c>
    </row>
    <row r="7" spans="1:3" x14ac:dyDescent="0.35">
      <c r="A7" s="4" t="s">
        <v>7</v>
      </c>
      <c r="B7" s="3">
        <v>59679</v>
      </c>
      <c r="C7" s="3">
        <v>34557.449999999997</v>
      </c>
    </row>
    <row r="8" spans="1:3" x14ac:dyDescent="0.35">
      <c r="A8" s="2">
        <v>-33.200000000000003</v>
      </c>
      <c r="B8" s="3">
        <v>123910.8</v>
      </c>
      <c r="C8" s="3">
        <v>82803.899999999994</v>
      </c>
    </row>
    <row r="9" spans="1:3" x14ac:dyDescent="0.35">
      <c r="A9" s="4" t="s">
        <v>11</v>
      </c>
      <c r="B9" s="3">
        <v>123910.8</v>
      </c>
      <c r="C9" s="3">
        <v>82803.899999999994</v>
      </c>
    </row>
    <row r="10" spans="1:3" x14ac:dyDescent="0.35">
      <c r="A10" s="2">
        <v>-33.1</v>
      </c>
      <c r="B10" s="3">
        <v>87227.77</v>
      </c>
      <c r="C10" s="3">
        <v>58359.73</v>
      </c>
    </row>
    <row r="11" spans="1:3" x14ac:dyDescent="0.35">
      <c r="A11" s="4" t="s">
        <v>9</v>
      </c>
      <c r="B11" s="3">
        <v>87227.77</v>
      </c>
      <c r="C11" s="3">
        <v>58359.73</v>
      </c>
    </row>
    <row r="12" spans="1:3" x14ac:dyDescent="0.35">
      <c r="A12" s="2">
        <v>-31.7</v>
      </c>
      <c r="B12" s="3">
        <v>71320.649999999994</v>
      </c>
      <c r="C12" s="3">
        <v>48712.84</v>
      </c>
    </row>
    <row r="13" spans="1:3" x14ac:dyDescent="0.35">
      <c r="A13" s="4" t="s">
        <v>8</v>
      </c>
      <c r="B13" s="3">
        <v>71320.649999999994</v>
      </c>
      <c r="C13" s="3">
        <v>48712.84</v>
      </c>
    </row>
    <row r="14" spans="1:3" x14ac:dyDescent="0.35">
      <c r="A14" s="2">
        <v>-31.2</v>
      </c>
      <c r="B14" s="3">
        <v>87621.03</v>
      </c>
      <c r="C14" s="3">
        <v>60275.57</v>
      </c>
    </row>
    <row r="15" spans="1:3" x14ac:dyDescent="0.35">
      <c r="A15" s="4" t="s">
        <v>78</v>
      </c>
      <c r="B15" s="3">
        <v>87621.03</v>
      </c>
      <c r="C15" s="3">
        <v>60275.57</v>
      </c>
    </row>
    <row r="16" spans="1:3" x14ac:dyDescent="0.35">
      <c r="A16" s="2">
        <v>10.7</v>
      </c>
      <c r="B16" s="3">
        <v>110424</v>
      </c>
      <c r="C16" s="3">
        <v>122223.75</v>
      </c>
    </row>
    <row r="17" spans="1:3" x14ac:dyDescent="0.35">
      <c r="A17" s="4" t="s">
        <v>12</v>
      </c>
      <c r="B17" s="3">
        <v>110424</v>
      </c>
      <c r="C17" s="3">
        <v>122223.75</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Executive Summary</vt:lpstr>
      <vt:lpstr>Insights &amp; Recommendation</vt:lpstr>
      <vt:lpstr>Dataset</vt:lpstr>
      <vt:lpstr>Summary Metrics</vt:lpstr>
      <vt:lpstr>Revenue by Product Category</vt:lpstr>
      <vt:lpstr>Monthly Revenue Trend</vt:lpstr>
      <vt:lpstr>Top Sales Employees</vt:lpstr>
      <vt:lpstr>Revenue by Ship Country</vt:lpstr>
      <vt:lpstr>Category Revenue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marenza santarin</dc:creator>
  <cp:lastModifiedBy>marenza santarin</cp:lastModifiedBy>
  <dcterms:created xsi:type="dcterms:W3CDTF">2026-04-26T05:23:25Z</dcterms:created>
  <dcterms:modified xsi:type="dcterms:W3CDTF">2026-04-26T09:59:46Z</dcterms:modified>
</cp:coreProperties>
</file>